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Buddhist\Translations\Tibetan Unicode Entry\"/>
    </mc:Choice>
  </mc:AlternateContent>
  <xr:revisionPtr revIDLastSave="0" documentId="8_{78E45855-E1CD-45E5-952B-527446915F41}" xr6:coauthVersionLast="47" xr6:coauthVersionMax="47" xr10:uidLastSave="{00000000-0000-0000-0000-000000000000}"/>
  <bookViews>
    <workbookView xWindow="540" yWindow="456" windowWidth="17196" windowHeight="11100" xr2:uid="{755C2529-7AEA-4BA5-BE8B-E17C17761F93}"/>
  </bookViews>
  <sheets>
    <sheet name="Select" sheetId="1" r:id="rId1"/>
    <sheet name="Manual" sheetId="2" r:id="rId2"/>
    <sheet name="Copyright" sheetId="3" r:id="rId3"/>
  </sheets>
  <definedNames>
    <definedName name="addWordToSentence">Select!$L$2</definedName>
    <definedName name="char3987">Select!$O$12</definedName>
    <definedName name="char3997">Select!$P$12</definedName>
    <definedName name="char4002">Select!$Q$12</definedName>
    <definedName name="char4007">Select!$R$12</definedName>
    <definedName name="char4012">Select!$S$12</definedName>
    <definedName name="char4025">Select!$T$12</definedName>
    <definedName name="charTable">Select!$B$6:$U$16</definedName>
    <definedName name="clearLastChar">Select!$L$4</definedName>
    <definedName name="clearSentence">Select!$C$2</definedName>
    <definedName name="clearWord">Select!$L$3</definedName>
    <definedName name="copySentence">Select!$C$3</definedName>
    <definedName name="copyWord">Select!$C$4</definedName>
    <definedName name="sentence">Select!$C$1</definedName>
    <definedName name="word">Select!$C$5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1" l="1"/>
  <c r="T12" i="1" l="1"/>
  <c r="S12" i="1"/>
  <c r="R12" i="1"/>
  <c r="Q12" i="1"/>
  <c r="P12" i="1"/>
  <c r="O12" i="1"/>
  <c r="N12" i="1"/>
  <c r="M12" i="1"/>
  <c r="AZ1" i="1"/>
  <c r="AY1" i="1"/>
  <c r="AX1" i="1"/>
  <c r="AZ14" i="1" l="1"/>
  <c r="AZ13" i="1"/>
  <c r="AZ10" i="1"/>
  <c r="AZ6" i="1"/>
  <c r="AX10" i="1"/>
  <c r="AX6" i="1"/>
  <c r="Y6" i="1"/>
  <c r="Y7" i="1" s="1"/>
  <c r="Y8" i="1" s="1"/>
  <c r="Y9" i="1" s="1"/>
  <c r="Y10" i="1" s="1"/>
  <c r="Y11" i="1" s="1"/>
  <c r="AZ4" i="1" l="1"/>
  <c r="X5" i="1" a="1"/>
  <c r="X5" i="1" s="1"/>
  <c r="C5" i="1" s="1"/>
  <c r="AG23" i="2"/>
  <c r="AH23" i="2" s="1"/>
  <c r="AE23" i="2"/>
  <c r="AF23" i="2" s="1"/>
  <c r="AC23" i="2"/>
  <c r="AD23" i="2" s="1"/>
  <c r="AA23" i="2"/>
  <c r="AB23" i="2" s="1"/>
  <c r="Y23" i="2"/>
  <c r="Z23" i="2" s="1"/>
  <c r="W23" i="2"/>
  <c r="X23" i="2" s="1"/>
  <c r="U23" i="2"/>
  <c r="V23" i="2" s="1"/>
  <c r="S23" i="2"/>
  <c r="T23" i="2" s="1"/>
  <c r="Q23" i="2"/>
  <c r="R23" i="2" s="1"/>
  <c r="O23" i="2"/>
  <c r="P23" i="2" s="1"/>
  <c r="M23" i="2"/>
  <c r="N23" i="2" s="1"/>
  <c r="K23" i="2"/>
  <c r="L23" i="2" s="1"/>
  <c r="I23" i="2"/>
  <c r="J23" i="2" s="1"/>
  <c r="G23" i="2"/>
  <c r="H23" i="2" s="1"/>
  <c r="E23" i="2"/>
  <c r="F23" i="2" s="1"/>
  <c r="C23" i="2"/>
  <c r="D23" i="2" s="1"/>
  <c r="AG22" i="2"/>
  <c r="AH22" i="2" s="1"/>
  <c r="AE22" i="2"/>
  <c r="AF22" i="2" s="1"/>
  <c r="AC22" i="2"/>
  <c r="AD22" i="2" s="1"/>
  <c r="AA22" i="2"/>
  <c r="AB22" i="2" s="1"/>
  <c r="Y22" i="2"/>
  <c r="Z22" i="2" s="1"/>
  <c r="W22" i="2"/>
  <c r="X22" i="2" s="1"/>
  <c r="U22" i="2"/>
  <c r="V22" i="2" s="1"/>
  <c r="S22" i="2"/>
  <c r="T22" i="2" s="1"/>
  <c r="Q22" i="2"/>
  <c r="R22" i="2" s="1"/>
  <c r="O22" i="2"/>
  <c r="P22" i="2" s="1"/>
  <c r="M22" i="2"/>
  <c r="N22" i="2" s="1"/>
  <c r="K22" i="2"/>
  <c r="L22" i="2" s="1"/>
  <c r="I22" i="2"/>
  <c r="J22" i="2" s="1"/>
  <c r="G22" i="2"/>
  <c r="H22" i="2" s="1"/>
  <c r="E22" i="2"/>
  <c r="F22" i="2" s="1"/>
  <c r="C22" i="2"/>
  <c r="D22" i="2" s="1"/>
  <c r="AG21" i="2"/>
  <c r="AH21" i="2" s="1"/>
  <c r="AE21" i="2"/>
  <c r="AF21" i="2" s="1"/>
  <c r="AC21" i="2"/>
  <c r="AD21" i="2" s="1"/>
  <c r="AA21" i="2"/>
  <c r="AB21" i="2" s="1"/>
  <c r="Y21" i="2"/>
  <c r="Z21" i="2" s="1"/>
  <c r="W21" i="2"/>
  <c r="X21" i="2" s="1"/>
  <c r="U21" i="2"/>
  <c r="V21" i="2" s="1"/>
  <c r="S21" i="2"/>
  <c r="T21" i="2" s="1"/>
  <c r="Q21" i="2"/>
  <c r="R21" i="2" s="1"/>
  <c r="O21" i="2"/>
  <c r="P21" i="2" s="1"/>
  <c r="M21" i="2"/>
  <c r="N21" i="2" s="1"/>
  <c r="K21" i="2"/>
  <c r="L21" i="2" s="1"/>
  <c r="I21" i="2"/>
  <c r="J21" i="2" s="1"/>
  <c r="G21" i="2"/>
  <c r="H21" i="2" s="1"/>
  <c r="E21" i="2"/>
  <c r="F21" i="2" s="1"/>
  <c r="C21" i="2"/>
  <c r="D21" i="2" s="1"/>
  <c r="AG20" i="2"/>
  <c r="AH20" i="2" s="1"/>
  <c r="AE20" i="2"/>
  <c r="AF20" i="2" s="1"/>
  <c r="AC20" i="2"/>
  <c r="AD20" i="2" s="1"/>
  <c r="AA20" i="2"/>
  <c r="AB20" i="2" s="1"/>
  <c r="Y20" i="2"/>
  <c r="Z20" i="2" s="1"/>
  <c r="W20" i="2"/>
  <c r="X20" i="2" s="1"/>
  <c r="U20" i="2"/>
  <c r="V20" i="2" s="1"/>
  <c r="S20" i="2"/>
  <c r="T20" i="2" s="1"/>
  <c r="Q20" i="2"/>
  <c r="R20" i="2" s="1"/>
  <c r="O20" i="2"/>
  <c r="P20" i="2" s="1"/>
  <c r="M20" i="2"/>
  <c r="N20" i="2" s="1"/>
  <c r="K20" i="2"/>
  <c r="L20" i="2" s="1"/>
  <c r="I20" i="2"/>
  <c r="J20" i="2" s="1"/>
  <c r="G20" i="2"/>
  <c r="H20" i="2" s="1"/>
  <c r="E20" i="2"/>
  <c r="F20" i="2" s="1"/>
  <c r="D20" i="2"/>
  <c r="C20" i="2"/>
  <c r="AG19" i="2"/>
  <c r="AH19" i="2" s="1"/>
  <c r="AE19" i="2"/>
  <c r="AF19" i="2" s="1"/>
  <c r="AC19" i="2"/>
  <c r="AD19" i="2" s="1"/>
  <c r="AA19" i="2"/>
  <c r="AB19" i="2" s="1"/>
  <c r="Y19" i="2"/>
  <c r="Z19" i="2" s="1"/>
  <c r="W19" i="2"/>
  <c r="X19" i="2" s="1"/>
  <c r="U19" i="2"/>
  <c r="V19" i="2" s="1"/>
  <c r="T19" i="2"/>
  <c r="S19" i="2"/>
  <c r="Q19" i="2"/>
  <c r="R19" i="2" s="1"/>
  <c r="O19" i="2"/>
  <c r="P19" i="2" s="1"/>
  <c r="M19" i="2"/>
  <c r="N19" i="2" s="1"/>
  <c r="K19" i="2"/>
  <c r="L19" i="2" s="1"/>
  <c r="I19" i="2"/>
  <c r="J19" i="2" s="1"/>
  <c r="G19" i="2"/>
  <c r="H19" i="2" s="1"/>
  <c r="E19" i="2"/>
  <c r="F19" i="2" s="1"/>
  <c r="D19" i="2"/>
  <c r="C19" i="2"/>
  <c r="AG18" i="2"/>
  <c r="AH18" i="2" s="1"/>
  <c r="AE18" i="2"/>
  <c r="AF18" i="2" s="1"/>
  <c r="AC18" i="2"/>
  <c r="AD18" i="2" s="1"/>
  <c r="AA18" i="2"/>
  <c r="AB18" i="2" s="1"/>
  <c r="Y18" i="2"/>
  <c r="Z18" i="2" s="1"/>
  <c r="W18" i="2"/>
  <c r="X18" i="2" s="1"/>
  <c r="U18" i="2"/>
  <c r="V18" i="2" s="1"/>
  <c r="T18" i="2"/>
  <c r="S18" i="2"/>
  <c r="Q18" i="2"/>
  <c r="R18" i="2" s="1"/>
  <c r="O18" i="2"/>
  <c r="P18" i="2" s="1"/>
  <c r="M18" i="2"/>
  <c r="N18" i="2" s="1"/>
  <c r="K18" i="2"/>
  <c r="L18" i="2" s="1"/>
  <c r="I18" i="2"/>
  <c r="J18" i="2" s="1"/>
  <c r="G18" i="2"/>
  <c r="H18" i="2" s="1"/>
  <c r="E18" i="2"/>
  <c r="F18" i="2" s="1"/>
  <c r="D18" i="2"/>
  <c r="C18" i="2"/>
  <c r="AG17" i="2"/>
  <c r="AH17" i="2" s="1"/>
  <c r="AE17" i="2"/>
  <c r="AF17" i="2" s="1"/>
  <c r="AC17" i="2"/>
  <c r="AD17" i="2" s="1"/>
  <c r="AA17" i="2"/>
  <c r="AB17" i="2" s="1"/>
  <c r="Y17" i="2"/>
  <c r="Z17" i="2" s="1"/>
  <c r="W17" i="2"/>
  <c r="X17" i="2" s="1"/>
  <c r="U17" i="2"/>
  <c r="V17" i="2" s="1"/>
  <c r="T17" i="2"/>
  <c r="S17" i="2"/>
  <c r="Q17" i="2"/>
  <c r="R17" i="2" s="1"/>
  <c r="O17" i="2"/>
  <c r="P17" i="2" s="1"/>
  <c r="M17" i="2"/>
  <c r="N17" i="2" s="1"/>
  <c r="K17" i="2"/>
  <c r="L17" i="2" s="1"/>
  <c r="I17" i="2"/>
  <c r="J17" i="2" s="1"/>
  <c r="G17" i="2"/>
  <c r="H17" i="2" s="1"/>
  <c r="E17" i="2"/>
  <c r="F17" i="2" s="1"/>
  <c r="D17" i="2"/>
  <c r="C17" i="2"/>
  <c r="AG16" i="2"/>
  <c r="AH16" i="2" s="1"/>
  <c r="AE16" i="2"/>
  <c r="AF16" i="2" s="1"/>
  <c r="AC16" i="2"/>
  <c r="AD16" i="2" s="1"/>
  <c r="AA16" i="2"/>
  <c r="AB16" i="2" s="1"/>
  <c r="Y16" i="2"/>
  <c r="Z16" i="2" s="1"/>
  <c r="W16" i="2"/>
  <c r="X16" i="2" s="1"/>
  <c r="U16" i="2"/>
  <c r="V16" i="2" s="1"/>
  <c r="T16" i="2"/>
  <c r="S16" i="2"/>
  <c r="Q16" i="2"/>
  <c r="R16" i="2" s="1"/>
  <c r="O16" i="2"/>
  <c r="P16" i="2" s="1"/>
  <c r="M16" i="2"/>
  <c r="N16" i="2" s="1"/>
  <c r="K16" i="2"/>
  <c r="L16" i="2" s="1"/>
  <c r="I16" i="2"/>
  <c r="J16" i="2" s="1"/>
  <c r="G16" i="2"/>
  <c r="H16" i="2" s="1"/>
  <c r="E16" i="2"/>
  <c r="F16" i="2" s="1"/>
  <c r="D16" i="2"/>
  <c r="C16" i="2"/>
  <c r="AG15" i="2"/>
  <c r="AH15" i="2" s="1"/>
  <c r="AE15" i="2"/>
  <c r="AF15" i="2" s="1"/>
  <c r="AC15" i="2"/>
  <c r="AD15" i="2" s="1"/>
  <c r="AA15" i="2"/>
  <c r="AB15" i="2" s="1"/>
  <c r="Y15" i="2"/>
  <c r="Z15" i="2" s="1"/>
  <c r="W15" i="2"/>
  <c r="X15" i="2" s="1"/>
  <c r="U15" i="2"/>
  <c r="V15" i="2" s="1"/>
  <c r="T15" i="2"/>
  <c r="S15" i="2"/>
  <c r="Q15" i="2"/>
  <c r="R15" i="2" s="1"/>
  <c r="O15" i="2"/>
  <c r="P15" i="2" s="1"/>
  <c r="M15" i="2"/>
  <c r="N15" i="2" s="1"/>
  <c r="K15" i="2"/>
  <c r="L15" i="2" s="1"/>
  <c r="I15" i="2"/>
  <c r="J15" i="2" s="1"/>
  <c r="G15" i="2"/>
  <c r="H15" i="2" s="1"/>
  <c r="E15" i="2"/>
  <c r="F15" i="2" s="1"/>
  <c r="D15" i="2"/>
  <c r="C15" i="2"/>
  <c r="AG14" i="2"/>
  <c r="AH14" i="2" s="1"/>
  <c r="AE14" i="2"/>
  <c r="AF14" i="2" s="1"/>
  <c r="AC14" i="2"/>
  <c r="AD14" i="2" s="1"/>
  <c r="AA14" i="2"/>
  <c r="AB14" i="2" s="1"/>
  <c r="Y14" i="2"/>
  <c r="Z14" i="2" s="1"/>
  <c r="W14" i="2"/>
  <c r="X14" i="2" s="1"/>
  <c r="U14" i="2"/>
  <c r="V14" i="2" s="1"/>
  <c r="T14" i="2"/>
  <c r="S14" i="2"/>
  <c r="Q14" i="2"/>
  <c r="R14" i="2" s="1"/>
  <c r="O14" i="2"/>
  <c r="P14" i="2" s="1"/>
  <c r="M14" i="2"/>
  <c r="N14" i="2" s="1"/>
  <c r="K14" i="2"/>
  <c r="L14" i="2" s="1"/>
  <c r="I14" i="2"/>
  <c r="J14" i="2" s="1"/>
  <c r="G14" i="2"/>
  <c r="H14" i="2" s="1"/>
  <c r="E14" i="2"/>
  <c r="F14" i="2" s="1"/>
  <c r="D14" i="2"/>
  <c r="C14" i="2"/>
  <c r="AG13" i="2"/>
  <c r="AH13" i="2" s="1"/>
  <c r="AE13" i="2"/>
  <c r="AF13" i="2" s="1"/>
  <c r="AC13" i="2"/>
  <c r="AD13" i="2" s="1"/>
  <c r="AA13" i="2"/>
  <c r="AB13" i="2" s="1"/>
  <c r="Y13" i="2"/>
  <c r="Z13" i="2" s="1"/>
  <c r="W13" i="2"/>
  <c r="X13" i="2" s="1"/>
  <c r="U13" i="2"/>
  <c r="V13" i="2" s="1"/>
  <c r="T13" i="2"/>
  <c r="S13" i="2"/>
  <c r="Q13" i="2"/>
  <c r="R13" i="2" s="1"/>
  <c r="O13" i="2"/>
  <c r="P13" i="2" s="1"/>
  <c r="M13" i="2"/>
  <c r="N13" i="2" s="1"/>
  <c r="K13" i="2"/>
  <c r="L13" i="2" s="1"/>
  <c r="I13" i="2"/>
  <c r="J13" i="2" s="1"/>
  <c r="G13" i="2"/>
  <c r="H13" i="2" s="1"/>
  <c r="E13" i="2"/>
  <c r="F13" i="2" s="1"/>
  <c r="C13" i="2"/>
  <c r="D13" i="2" s="1"/>
  <c r="AG12" i="2"/>
  <c r="AH12" i="2" s="1"/>
  <c r="AE12" i="2"/>
  <c r="AF12" i="2" s="1"/>
  <c r="AC12" i="2"/>
  <c r="AD12" i="2" s="1"/>
  <c r="AA12" i="2"/>
  <c r="AB12" i="2" s="1"/>
  <c r="Y12" i="2"/>
  <c r="Z12" i="2" s="1"/>
  <c r="W12" i="2"/>
  <c r="X12" i="2" s="1"/>
  <c r="U12" i="2"/>
  <c r="V12" i="2" s="1"/>
  <c r="S12" i="2"/>
  <c r="T12" i="2" s="1"/>
  <c r="Q12" i="2"/>
  <c r="R12" i="2" s="1"/>
  <c r="O12" i="2"/>
  <c r="P12" i="2" s="1"/>
  <c r="M12" i="2"/>
  <c r="N12" i="2" s="1"/>
  <c r="K12" i="2"/>
  <c r="L12" i="2" s="1"/>
  <c r="I12" i="2"/>
  <c r="J12" i="2" s="1"/>
  <c r="G12" i="2"/>
  <c r="H12" i="2" s="1"/>
  <c r="E12" i="2"/>
  <c r="F12" i="2" s="1"/>
  <c r="C12" i="2"/>
  <c r="D12" i="2" s="1"/>
  <c r="AG11" i="2"/>
  <c r="AH11" i="2" s="1"/>
  <c r="AE11" i="2"/>
  <c r="AF11" i="2" s="1"/>
  <c r="AC11" i="2"/>
  <c r="AD11" i="2" s="1"/>
  <c r="AA11" i="2"/>
  <c r="AB11" i="2" s="1"/>
  <c r="Y11" i="2"/>
  <c r="Z11" i="2" s="1"/>
  <c r="W11" i="2"/>
  <c r="X11" i="2" s="1"/>
  <c r="U11" i="2"/>
  <c r="V11" i="2" s="1"/>
  <c r="S11" i="2"/>
  <c r="T11" i="2" s="1"/>
  <c r="Q11" i="2"/>
  <c r="R11" i="2" s="1"/>
  <c r="O11" i="2"/>
  <c r="P11" i="2" s="1"/>
  <c r="M11" i="2"/>
  <c r="N11" i="2" s="1"/>
  <c r="K11" i="2"/>
  <c r="L11" i="2" s="1"/>
  <c r="I11" i="2"/>
  <c r="J11" i="2" s="1"/>
  <c r="G11" i="2"/>
  <c r="H11" i="2" s="1"/>
  <c r="E11" i="2"/>
  <c r="F11" i="2" s="1"/>
  <c r="C11" i="2"/>
  <c r="D11" i="2" s="1"/>
  <c r="AG10" i="2"/>
  <c r="AH10" i="2" s="1"/>
  <c r="AE10" i="2"/>
  <c r="AF10" i="2" s="1"/>
  <c r="AC10" i="2"/>
  <c r="AD10" i="2" s="1"/>
  <c r="AA10" i="2"/>
  <c r="AB10" i="2" s="1"/>
  <c r="Y10" i="2"/>
  <c r="Z10" i="2" s="1"/>
  <c r="W10" i="2"/>
  <c r="X10" i="2" s="1"/>
  <c r="U10" i="2"/>
  <c r="V10" i="2" s="1"/>
  <c r="S10" i="2"/>
  <c r="T10" i="2" s="1"/>
  <c r="Q10" i="2"/>
  <c r="R10" i="2" s="1"/>
  <c r="O10" i="2"/>
  <c r="P10" i="2" s="1"/>
  <c r="M10" i="2"/>
  <c r="N10" i="2" s="1"/>
  <c r="K10" i="2"/>
  <c r="L10" i="2" s="1"/>
  <c r="I10" i="2"/>
  <c r="J10" i="2" s="1"/>
  <c r="G10" i="2"/>
  <c r="H10" i="2" s="1"/>
  <c r="E10" i="2"/>
  <c r="F10" i="2" s="1"/>
  <c r="C10" i="2"/>
  <c r="D10" i="2" s="1"/>
  <c r="AG9" i="2"/>
  <c r="AH9" i="2" s="1"/>
  <c r="AE9" i="2"/>
  <c r="AF9" i="2" s="1"/>
  <c r="AC9" i="2"/>
  <c r="AD9" i="2" s="1"/>
  <c r="AA9" i="2"/>
  <c r="AB9" i="2" s="1"/>
  <c r="Y9" i="2"/>
  <c r="Z9" i="2" s="1"/>
  <c r="W9" i="2"/>
  <c r="X9" i="2" s="1"/>
  <c r="U9" i="2"/>
  <c r="V9" i="2" s="1"/>
  <c r="S9" i="2"/>
  <c r="T9" i="2" s="1"/>
  <c r="Q9" i="2"/>
  <c r="R9" i="2" s="1"/>
  <c r="O9" i="2"/>
  <c r="P9" i="2" s="1"/>
  <c r="M9" i="2"/>
  <c r="N9" i="2" s="1"/>
  <c r="K9" i="2"/>
  <c r="L9" i="2" s="1"/>
  <c r="I9" i="2"/>
  <c r="J9" i="2" s="1"/>
  <c r="G9" i="2"/>
  <c r="H9" i="2" s="1"/>
  <c r="E9" i="2"/>
  <c r="F9" i="2" s="1"/>
  <c r="C9" i="2"/>
  <c r="D9" i="2" s="1"/>
  <c r="AG8" i="2"/>
  <c r="AH8" i="2" s="1"/>
  <c r="AE8" i="2"/>
  <c r="AF8" i="2" s="1"/>
  <c r="AC8" i="2"/>
  <c r="AD8" i="2" s="1"/>
  <c r="AA8" i="2"/>
  <c r="AB8" i="2" s="1"/>
  <c r="Y8" i="2"/>
  <c r="Z8" i="2" s="1"/>
  <c r="W8" i="2"/>
  <c r="X8" i="2" s="1"/>
  <c r="U8" i="2"/>
  <c r="V8" i="2" s="1"/>
  <c r="S8" i="2"/>
  <c r="T8" i="2" s="1"/>
  <c r="Q8" i="2"/>
  <c r="R8" i="2" s="1"/>
  <c r="O8" i="2"/>
  <c r="P8" i="2" s="1"/>
  <c r="M8" i="2"/>
  <c r="N8" i="2" s="1"/>
  <c r="K8" i="2"/>
  <c r="L8" i="2" s="1"/>
  <c r="I8" i="2"/>
  <c r="J8" i="2" s="1"/>
  <c r="G8" i="2"/>
  <c r="H8" i="2" s="1"/>
  <c r="E8" i="2"/>
  <c r="F8" i="2" s="1"/>
  <c r="C8" i="2"/>
  <c r="D8" i="2" s="1"/>
  <c r="AC4" i="2"/>
  <c r="V4" i="2"/>
  <c r="O4" i="2"/>
  <c r="H4" i="2"/>
  <c r="M13" i="1"/>
  <c r="L13" i="1"/>
  <c r="K13" i="1"/>
  <c r="J13" i="1"/>
  <c r="I13" i="1"/>
  <c r="H13" i="1"/>
  <c r="G13" i="1"/>
  <c r="F13" i="1"/>
  <c r="E13" i="1"/>
  <c r="D13" i="1"/>
  <c r="C13" i="1"/>
  <c r="B13" i="1"/>
  <c r="T16" i="1" l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G12" i="1"/>
  <c r="H12" i="1"/>
  <c r="I12" i="1"/>
  <c r="J12" i="1"/>
  <c r="K12" i="1"/>
  <c r="L12" i="1"/>
  <c r="F12" i="1"/>
  <c r="E12" i="1"/>
  <c r="D12" i="1"/>
  <c r="C12" i="1"/>
  <c r="B12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R9" i="1" l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U7" i="1"/>
  <c r="T7" i="1"/>
  <c r="S7" i="1"/>
  <c r="R7" i="1"/>
  <c r="Q7" i="1"/>
  <c r="P7" i="1"/>
  <c r="O7" i="1"/>
  <c r="M7" i="1"/>
  <c r="L7" i="1"/>
  <c r="K7" i="1"/>
  <c r="J7" i="1"/>
  <c r="I7" i="1"/>
  <c r="H7" i="1"/>
  <c r="G7" i="1"/>
  <c r="F7" i="1"/>
  <c r="E7" i="1"/>
  <c r="D7" i="1"/>
  <c r="C7" i="1"/>
  <c r="B7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<sst xmlns="http://schemas.openxmlformats.org/spreadsheetml/2006/main" count="51" uniqueCount="45">
  <si>
    <t>Core 核心</t>
  </si>
  <si>
    <t>Lower stack 下加字</t>
  </si>
  <si>
    <t>Symbols 符号</t>
  </si>
  <si>
    <t>Upper stack 
上加字</t>
  </si>
  <si>
    <t>Sentence  :
句子</t>
  </si>
  <si>
    <t>Clear sentence 清除句子</t>
  </si>
  <si>
    <t>Copy sentence 抄句子</t>
  </si>
  <si>
    <t>Stacking guide : Key in the number of center character, then form the bottom, (further bottom part if need) finally top</t>
  </si>
  <si>
    <t>Single (no stack)</t>
  </si>
  <si>
    <t>Double stacked</t>
  </si>
  <si>
    <t>Triple stack</t>
  </si>
  <si>
    <t>Quadruple stack</t>
  </si>
  <si>
    <t>Tibetan Unicode</t>
  </si>
  <si>
    <t>Dec</t>
  </si>
  <si>
    <t>Unichar</t>
  </si>
  <si>
    <t>A</t>
  </si>
  <si>
    <t>B</t>
  </si>
  <si>
    <t>C</t>
  </si>
  <si>
    <t>D</t>
  </si>
  <si>
    <t>E</t>
  </si>
  <si>
    <t>F</t>
  </si>
  <si>
    <t>0F0</t>
  </si>
  <si>
    <t>0F1</t>
  </si>
  <si>
    <t>0F2</t>
  </si>
  <si>
    <t>0F3</t>
  </si>
  <si>
    <t>0F4</t>
  </si>
  <si>
    <t>0F5</t>
  </si>
  <si>
    <t>0F6</t>
  </si>
  <si>
    <t>0F7</t>
  </si>
  <si>
    <t>0F8</t>
  </si>
  <si>
    <t>0F9</t>
  </si>
  <si>
    <t>0FA</t>
  </si>
  <si>
    <t>0FB</t>
  </si>
  <si>
    <t>0FC</t>
  </si>
  <si>
    <t>0FD</t>
  </si>
  <si>
    <t>0FE</t>
  </si>
  <si>
    <t>0FF</t>
  </si>
  <si>
    <t>Tibetan Unicode Keyboard - screen keyboard that facilitates Tibetan word creation</t>
  </si>
  <si>
    <t>This is distributed under the GNU GENERAL PUBLIC LICENSE Version 3, 29 June 2007.</t>
  </si>
  <si>
    <t>See COPYING.txt for the license details.</t>
  </si>
  <si>
    <t>Add word to sentence 加字入句子</t>
  </si>
  <si>
    <t>Clear word 清除整个字</t>
  </si>
  <si>
    <t>Copy word 抄字</t>
  </si>
  <si>
    <t>Word
叠字</t>
  </si>
  <si>
    <t>Copyright (C) 2024 Kunzang Dorje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</si>
</sst>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name val="Calibri"/>
      <family val="2"/>
      <scheme val="minor"/>
    </font>
    <font>
      <sz val="40"/>
      <color theme="1"/>
      <name val="Microsoft Himalaya"/>
    </font>
    <font>
      <sz val="36"/>
      <name val="Microsoft Himalaya"/>
    </font>
    <font>
      <sz val="28"/>
      <color theme="1"/>
      <name val="Microsoft Himalaya"/>
    </font>
    <font>
      <sz val="36"/>
      <color theme="1"/>
      <name val="Microsoft Himalaya"/>
    </font>
    <font>
      <sz val="26"/>
      <color theme="1"/>
      <name val="Microsoft Himalaya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Microsoft Himalaya"/>
    </font>
    <font>
      <sz val="28"/>
      <color theme="1"/>
      <name val="Calibri"/>
      <family val="2"/>
      <scheme val="minor"/>
    </font>
    <font>
      <sz val="36"/>
      <color rgb="FF0070C0"/>
      <name val="Microsoft Himalaya"/>
    </font>
    <font>
      <sz val="11"/>
      <color theme="0"/>
      <name val="Calibri"/>
      <family val="2"/>
      <scheme val="minor"/>
    </font>
    <font>
      <sz val="40"/>
      <color theme="5" tint="0.59999389629810485"/>
      <name val="Microsoft Himalaya"/>
    </font>
    <font>
      <sz val="36"/>
      <color theme="4"/>
      <name val="Microsoft Himalaya"/>
    </font>
    <font>
      <sz val="36"/>
      <color theme="3" tint="0.39997558519241921"/>
      <name val="Microsoft Himalaya"/>
    </font>
    <font>
      <sz val="40"/>
      <name val="Microsoft Himalaya"/>
    </font>
    <font>
      <sz val="40"/>
      <color theme="8" tint="-0.249977111117893"/>
      <name val="Microsoft Himalaya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49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6" fillId="0" borderId="0" xfId="0" applyFont="1"/>
    <xf numFmtId="0" fontId="3" fillId="4" borderId="0" xfId="0" applyFont="1" applyFill="1" applyAlignment="1">
      <alignment horizontal="center" vertical="center" textRotation="90" wrapText="1"/>
    </xf>
    <xf numFmtId="0" fontId="9" fillId="0" borderId="0" xfId="0" applyFont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" fontId="0" fillId="3" borderId="0" xfId="0" applyNumberFormat="1" applyFill="1"/>
    <xf numFmtId="1" fontId="0" fillId="4" borderId="0" xfId="0" applyNumberFormat="1" applyFill="1"/>
    <xf numFmtId="0" fontId="0" fillId="4" borderId="0" xfId="0" applyFill="1"/>
    <xf numFmtId="0" fontId="0" fillId="5" borderId="0" xfId="0" applyFill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0" fillId="6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7" fillId="2" borderId="0" xfId="0" applyFont="1" applyFill="1" applyProtection="1">
      <protection locked="0"/>
    </xf>
    <xf numFmtId="0" fontId="6" fillId="3" borderId="0" xfId="0" applyFont="1" applyFill="1" applyAlignment="1" applyProtection="1">
      <alignment vertical="top"/>
      <protection locked="0"/>
    </xf>
    <xf numFmtId="0" fontId="6" fillId="4" borderId="0" xfId="0" applyFont="1" applyFill="1" applyAlignment="1" applyProtection="1">
      <alignment vertical="top"/>
      <protection locked="0"/>
    </xf>
    <xf numFmtId="0" fontId="6" fillId="5" borderId="0" xfId="0" applyFont="1" applyFill="1" applyAlignment="1" applyProtection="1">
      <alignment vertical="top"/>
      <protection locked="0"/>
    </xf>
    <xf numFmtId="0" fontId="8" fillId="5" borderId="0" xfId="0" applyFont="1" applyFill="1" applyAlignment="1" applyProtection="1">
      <alignment vertical="top"/>
      <protection locked="0"/>
    </xf>
    <xf numFmtId="0" fontId="9" fillId="5" borderId="0" xfId="0" applyFont="1" applyFill="1" applyAlignment="1" applyProtection="1">
      <alignment vertical="top"/>
      <protection locked="0"/>
    </xf>
    <xf numFmtId="0" fontId="10" fillId="5" borderId="0" xfId="0" applyFont="1" applyFill="1" applyAlignment="1" applyProtection="1">
      <alignment vertical="top"/>
      <protection locked="0"/>
    </xf>
    <xf numFmtId="0" fontId="1" fillId="0" borderId="0" xfId="0" applyFont="1" applyProtection="1">
      <protection locked="0"/>
    </xf>
    <xf numFmtId="0" fontId="20" fillId="3" borderId="0" xfId="0" applyFont="1" applyFill="1" applyAlignment="1" applyProtection="1">
      <alignment vertical="top"/>
      <protection locked="0"/>
    </xf>
    <xf numFmtId="0" fontId="18" fillId="2" borderId="0" xfId="0" applyFont="1" applyFill="1" applyProtection="1">
      <protection locked="0"/>
    </xf>
    <xf numFmtId="0" fontId="21" fillId="2" borderId="0" xfId="0" applyFont="1" applyFill="1" applyProtection="1">
      <protection locked="0"/>
    </xf>
    <xf numFmtId="0" fontId="22" fillId="2" borderId="0" xfId="0" applyFont="1" applyFill="1" applyProtection="1">
      <protection locked="0"/>
    </xf>
    <xf numFmtId="0" fontId="23" fillId="3" borderId="0" xfId="0" applyFont="1" applyFill="1" applyAlignment="1" applyProtection="1">
      <alignment vertical="top"/>
      <protection locked="0"/>
    </xf>
    <xf numFmtId="0" fontId="24" fillId="3" borderId="0" xfId="0" applyFont="1" applyFill="1" applyAlignment="1" applyProtection="1">
      <alignment vertical="top"/>
      <protection locked="0"/>
    </xf>
    <xf numFmtId="0" fontId="0" fillId="0" borderId="0" xfId="0" applyProtection="1">
      <protection locked="0"/>
    </xf>
    <xf numFmtId="0" fontId="5" fillId="2" borderId="0" xfId="0" applyFont="1" applyFill="1" applyAlignment="1">
      <alignment horizontal="center" vertical="center" textRotation="90"/>
    </xf>
    <xf numFmtId="0" fontId="3" fillId="3" borderId="0" xfId="0" applyFont="1" applyFill="1" applyAlignment="1">
      <alignment horizontal="center" vertical="center" textRotation="90"/>
    </xf>
    <xf numFmtId="0" fontId="3" fillId="5" borderId="0" xfId="0" applyFont="1" applyFill="1" applyAlignment="1">
      <alignment horizontal="center" vertical="center" textRotation="90"/>
    </xf>
    <xf numFmtId="0" fontId="0" fillId="5" borderId="0" xfId="0" applyFill="1" applyAlignment="1">
      <alignment horizontal="center" vertical="center" textRotation="90"/>
    </xf>
    <xf numFmtId="0" fontId="19" fillId="0" borderId="0" xfId="0" applyFont="1" applyProtection="1">
      <protection locked="0"/>
    </xf>
    <xf numFmtId="0" fontId="2" fillId="0" borderId="0" xfId="0" applyFont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4" fillId="5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1" fillId="0" borderId="1" xfId="0" applyFont="1" applyBorder="1"/>
    <xf numFmtId="0" fontId="0" fillId="0" borderId="2" xfId="0" applyBorder="1"/>
    <xf numFmtId="0" fontId="0" fillId="0" borderId="3" xfId="0" applyBorder="1"/>
    <xf numFmtId="0" fontId="7" fillId="5" borderId="5" xfId="0" applyFont="1" applyFill="1" applyBorder="1" applyProtection="1">
      <protection locked="0"/>
    </xf>
    <xf numFmtId="0" fontId="15" fillId="5" borderId="6" xfId="0" applyFont="1" applyFill="1" applyBorder="1" applyProtection="1">
      <protection locked="0"/>
    </xf>
    <xf numFmtId="0" fontId="15" fillId="5" borderId="7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13053</xdr:colOff>
      <xdr:row>11</xdr:row>
      <xdr:rowOff>120721</xdr:rowOff>
    </xdr:from>
    <xdr:to>
      <xdr:col>14</xdr:col>
      <xdr:colOff>304117</xdr:colOff>
      <xdr:row>11</xdr:row>
      <xdr:rowOff>613326</xdr:rowOff>
    </xdr:to>
    <xdr:pic macro="[0]!Picture3987_Click">
      <xdr:nvPicPr>
        <xdr:cNvPr id="3" name="Picture 2">
          <a:extLst>
            <a:ext uri="{FF2B5EF4-FFF2-40B4-BE49-F238E27FC236}">
              <a16:creationId xmlns:a16="http://schemas.microsoft.com/office/drawing/2014/main" id="{C4349B18-1B47-AAFE-AFCF-8C67FF432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2183" y="6688830"/>
          <a:ext cx="291064" cy="492605"/>
        </a:xfrm>
        <a:prstGeom prst="rect">
          <a:avLst/>
        </a:prstGeom>
      </xdr:spPr>
    </xdr:pic>
    <xdr:clientData/>
  </xdr:twoCellAnchor>
  <xdr:twoCellAnchor editAs="oneCell">
    <xdr:from>
      <xdr:col>15</xdr:col>
      <xdr:colOff>20173</xdr:colOff>
      <xdr:row>11</xdr:row>
      <xdr:rowOff>117435</xdr:rowOff>
    </xdr:from>
    <xdr:to>
      <xdr:col>15</xdr:col>
      <xdr:colOff>320355</xdr:colOff>
      <xdr:row>11</xdr:row>
      <xdr:rowOff>671616</xdr:rowOff>
    </xdr:to>
    <xdr:pic macro="[0]!Picture3997_Click">
      <xdr:nvPicPr>
        <xdr:cNvPr id="5" name="Picture 4">
          <a:extLst>
            <a:ext uri="{FF2B5EF4-FFF2-40B4-BE49-F238E27FC236}">
              <a16:creationId xmlns:a16="http://schemas.microsoft.com/office/drawing/2014/main" id="{1A9BC444-8570-05F9-3CDF-CB9D54454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5151" y="6685544"/>
          <a:ext cx="300182" cy="554181"/>
        </a:xfrm>
        <a:prstGeom prst="rect">
          <a:avLst/>
        </a:prstGeom>
      </xdr:spPr>
    </xdr:pic>
    <xdr:clientData/>
  </xdr:twoCellAnchor>
  <xdr:twoCellAnchor editAs="oneCell">
    <xdr:from>
      <xdr:col>16</xdr:col>
      <xdr:colOff>51778</xdr:colOff>
      <xdr:row>11</xdr:row>
      <xdr:rowOff>88538</xdr:rowOff>
    </xdr:from>
    <xdr:to>
      <xdr:col>16</xdr:col>
      <xdr:colOff>333306</xdr:colOff>
      <xdr:row>11</xdr:row>
      <xdr:rowOff>644085</xdr:rowOff>
    </xdr:to>
    <xdr:pic macro="[0]!Picture4002_Click">
      <xdr:nvPicPr>
        <xdr:cNvPr id="7" name="Picture 6">
          <a:extLst>
            <a:ext uri="{FF2B5EF4-FFF2-40B4-BE49-F238E27FC236}">
              <a16:creationId xmlns:a16="http://schemas.microsoft.com/office/drawing/2014/main" id="{F4FA8AD4-3CAB-B1F3-482D-531544C2D1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61"/>
        <a:stretch/>
      </xdr:blipFill>
      <xdr:spPr>
        <a:xfrm>
          <a:off x="6992604" y="6656647"/>
          <a:ext cx="281528" cy="555547"/>
        </a:xfrm>
        <a:prstGeom prst="rect">
          <a:avLst/>
        </a:prstGeom>
      </xdr:spPr>
    </xdr:pic>
    <xdr:clientData/>
  </xdr:twoCellAnchor>
  <xdr:twoCellAnchor editAs="oneCell">
    <xdr:from>
      <xdr:col>17</xdr:col>
      <xdr:colOff>77399</xdr:colOff>
      <xdr:row>11</xdr:row>
      <xdr:rowOff>112786</xdr:rowOff>
    </xdr:from>
    <xdr:to>
      <xdr:col>17</xdr:col>
      <xdr:colOff>349949</xdr:colOff>
      <xdr:row>11</xdr:row>
      <xdr:rowOff>636180</xdr:rowOff>
    </xdr:to>
    <xdr:pic macro="[0]!Picture4007_Click">
      <xdr:nvPicPr>
        <xdr:cNvPr id="9" name="Picture 8">
          <a:extLst>
            <a:ext uri="{FF2B5EF4-FFF2-40B4-BE49-F238E27FC236}">
              <a16:creationId xmlns:a16="http://schemas.microsoft.com/office/drawing/2014/main" id="{4E92D8D7-3736-5225-400A-C874E7BF54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998"/>
        <a:stretch/>
      </xdr:blipFill>
      <xdr:spPr>
        <a:xfrm>
          <a:off x="7424073" y="6680895"/>
          <a:ext cx="272550" cy="523394"/>
        </a:xfrm>
        <a:prstGeom prst="rect">
          <a:avLst/>
        </a:prstGeom>
      </xdr:spPr>
    </xdr:pic>
    <xdr:clientData/>
  </xdr:twoCellAnchor>
  <xdr:twoCellAnchor editAs="oneCell">
    <xdr:from>
      <xdr:col>18</xdr:col>
      <xdr:colOff>42842</xdr:colOff>
      <xdr:row>11</xdr:row>
      <xdr:rowOff>106415</xdr:rowOff>
    </xdr:from>
    <xdr:to>
      <xdr:col>18</xdr:col>
      <xdr:colOff>340977</xdr:colOff>
      <xdr:row>11</xdr:row>
      <xdr:rowOff>652899</xdr:rowOff>
    </xdr:to>
    <xdr:pic macro="[0]!Picture4012_Click">
      <xdr:nvPicPr>
        <xdr:cNvPr id="11" name="Picture 10">
          <a:extLst>
            <a:ext uri="{FF2B5EF4-FFF2-40B4-BE49-F238E27FC236}">
              <a16:creationId xmlns:a16="http://schemas.microsoft.com/office/drawing/2014/main" id="{1E11F1E0-C7D8-AAB7-2921-66B82E91B5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68"/>
        <a:stretch/>
      </xdr:blipFill>
      <xdr:spPr>
        <a:xfrm>
          <a:off x="7795364" y="6674524"/>
          <a:ext cx="298135" cy="546484"/>
        </a:xfrm>
        <a:prstGeom prst="rect">
          <a:avLst/>
        </a:prstGeom>
      </xdr:spPr>
    </xdr:pic>
    <xdr:clientData/>
  </xdr:twoCellAnchor>
  <xdr:twoCellAnchor editAs="oneCell">
    <xdr:from>
      <xdr:col>19</xdr:col>
      <xdr:colOff>32070</xdr:colOff>
      <xdr:row>11</xdr:row>
      <xdr:rowOff>57343</xdr:rowOff>
    </xdr:from>
    <xdr:to>
      <xdr:col>19</xdr:col>
      <xdr:colOff>350730</xdr:colOff>
      <xdr:row>11</xdr:row>
      <xdr:rowOff>575751</xdr:rowOff>
    </xdr:to>
    <xdr:pic macro="[0]!Picture4025_Click">
      <xdr:nvPicPr>
        <xdr:cNvPr id="13" name="Picture 12">
          <a:extLst>
            <a:ext uri="{FF2B5EF4-FFF2-40B4-BE49-F238E27FC236}">
              <a16:creationId xmlns:a16="http://schemas.microsoft.com/office/drawing/2014/main" id="{CE405F9A-B4F3-99DE-8F49-6B2C43809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40"/>
        <a:stretch/>
      </xdr:blipFill>
      <xdr:spPr>
        <a:xfrm>
          <a:off x="8190440" y="6625452"/>
          <a:ext cx="318660" cy="518408"/>
        </a:xfrm>
        <a:prstGeom prst="rect">
          <a:avLst/>
        </a:prstGeom>
      </xdr:spPr>
    </xdr:pic>
    <xdr:clientData/>
  </xdr:twoCellAnchor>
  <xdr:twoCellAnchor editAs="absolute">
    <xdr:from>
      <xdr:col>10</xdr:col>
      <xdr:colOff>361845</xdr:colOff>
      <xdr:row>3</xdr:row>
      <xdr:rowOff>3276</xdr:rowOff>
    </xdr:from>
    <xdr:to>
      <xdr:col>18</xdr:col>
      <xdr:colOff>341405</xdr:colOff>
      <xdr:row>4</xdr:row>
      <xdr:rowOff>0</xdr:rowOff>
    </xdr:to>
    <xdr:sp macro="[0]!clearLastChar_Click" textlink="">
      <xdr:nvSpPr>
        <xdr:cNvPr id="2" name="TextBox 1">
          <a:extLst>
            <a:ext uri="{FF2B5EF4-FFF2-40B4-BE49-F238E27FC236}">
              <a16:creationId xmlns:a16="http://schemas.microsoft.com/office/drawing/2014/main" id="{D21A43A8-4860-90CE-995E-40755E592BC9}"/>
            </a:ext>
          </a:extLst>
        </xdr:cNvPr>
        <xdr:cNvSpPr txBox="1">
          <a:spLocks noChangeAspect="1"/>
        </xdr:cNvSpPr>
      </xdr:nvSpPr>
      <xdr:spPr>
        <a:xfrm>
          <a:off x="4870345" y="1308100"/>
          <a:ext cx="3230760" cy="27940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latin typeface="+mn-lt"/>
            </a:rPr>
            <a:t>Clear last character </a:t>
          </a:r>
          <a:r>
            <a:rPr lang="zh-TW" altLang="en-US" sz="1400" b="1">
              <a:latin typeface="+mn-lt"/>
            </a:rPr>
            <a:t>清除最后的字型</a:t>
          </a:r>
          <a:endParaRPr lang="en-GB" sz="1400" b="1">
            <a:latin typeface="+mn-lt"/>
          </a:endParaRPr>
        </a:p>
      </xdr:txBody>
    </xdr:sp>
    <xdr:clientData/>
  </xdr:twoCellAnchor>
  <xdr:twoCellAnchor>
    <xdr:from>
      <xdr:col>11</xdr:col>
      <xdr:colOff>0</xdr:colOff>
      <xdr:row>2</xdr:row>
      <xdr:rowOff>15240</xdr:rowOff>
    </xdr:from>
    <xdr:to>
      <xdr:col>18</xdr:col>
      <xdr:colOff>396240</xdr:colOff>
      <xdr:row>3</xdr:row>
      <xdr:rowOff>0</xdr:rowOff>
    </xdr:to>
    <xdr:sp macro="[0]!clearWord_Click" textlink="">
      <xdr:nvSpPr>
        <xdr:cNvPr id="4" name="TextBox 3">
          <a:extLst>
            <a:ext uri="{FF2B5EF4-FFF2-40B4-BE49-F238E27FC236}">
              <a16:creationId xmlns:a16="http://schemas.microsoft.com/office/drawing/2014/main" id="{382595CF-DDBF-B9E5-1575-1D2C551F9410}"/>
            </a:ext>
          </a:extLst>
        </xdr:cNvPr>
        <xdr:cNvSpPr txBox="1"/>
      </xdr:nvSpPr>
      <xdr:spPr>
        <a:xfrm>
          <a:off x="4917440" y="1061720"/>
          <a:ext cx="324104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 word </a:t>
          </a:r>
          <a:r>
            <a:rPr lang="zh-TW" altLang="en-US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清除整个字 </a:t>
          </a:r>
          <a:endParaRPr lang="en-GB" sz="1400" b="1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18</xdr:col>
      <xdr:colOff>401320</xdr:colOff>
      <xdr:row>2</xdr:row>
      <xdr:rowOff>15240</xdr:rowOff>
    </xdr:to>
    <xdr:sp macro="[0]!addWordToSentence_Click" textlink="">
      <xdr:nvSpPr>
        <xdr:cNvPr id="6" name="TextBox 5">
          <a:extLst>
            <a:ext uri="{FF2B5EF4-FFF2-40B4-BE49-F238E27FC236}">
              <a16:creationId xmlns:a16="http://schemas.microsoft.com/office/drawing/2014/main" id="{3BCE8A94-C4D9-CA1F-DFFD-004AF69008FB}"/>
            </a:ext>
          </a:extLst>
        </xdr:cNvPr>
        <xdr:cNvSpPr txBox="1"/>
      </xdr:nvSpPr>
      <xdr:spPr>
        <a:xfrm>
          <a:off x="4917440" y="777240"/>
          <a:ext cx="3246120" cy="2844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word to sentence </a:t>
          </a:r>
          <a:r>
            <a:rPr lang="zh-TW" altLang="en-US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加字入句子 </a:t>
          </a:r>
          <a:endParaRPr lang="en-GB" sz="1400" b="1"/>
        </a:p>
      </xdr:txBody>
    </xdr:sp>
    <xdr:clientData/>
  </xdr:twoCellAnchor>
  <xdr:twoCellAnchor>
    <xdr:from>
      <xdr:col>2</xdr:col>
      <xdr:colOff>12700</xdr:colOff>
      <xdr:row>3</xdr:row>
      <xdr:rowOff>12700</xdr:rowOff>
    </xdr:from>
    <xdr:to>
      <xdr:col>9</xdr:col>
      <xdr:colOff>393700</xdr:colOff>
      <xdr:row>4</xdr:row>
      <xdr:rowOff>0</xdr:rowOff>
    </xdr:to>
    <xdr:sp macro="[0]!copyWord_click" textlink="">
      <xdr:nvSpPr>
        <xdr:cNvPr id="8" name="TextBox 7">
          <a:extLst>
            <a:ext uri="{FF2B5EF4-FFF2-40B4-BE49-F238E27FC236}">
              <a16:creationId xmlns:a16="http://schemas.microsoft.com/office/drawing/2014/main" id="{1DE4A77E-DD64-CF85-F73A-D69D5BFCD341}"/>
            </a:ext>
          </a:extLst>
        </xdr:cNvPr>
        <xdr:cNvSpPr txBox="1"/>
      </xdr:nvSpPr>
      <xdr:spPr>
        <a:xfrm>
          <a:off x="1270000" y="1130300"/>
          <a:ext cx="32258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word </a:t>
          </a:r>
          <a:r>
            <a:rPr lang="zh-TW" altLang="en-US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抄字 </a:t>
          </a:r>
          <a:endParaRPr lang="en-GB" sz="1400" b="1"/>
        </a:p>
      </xdr:txBody>
    </xdr:sp>
    <xdr:clientData/>
  </xdr:twoCellAnchor>
  <xdr:twoCellAnchor>
    <xdr:from>
      <xdr:col>2</xdr:col>
      <xdr:colOff>22860</xdr:colOff>
      <xdr:row>2</xdr:row>
      <xdr:rowOff>7620</xdr:rowOff>
    </xdr:from>
    <xdr:to>
      <xdr:col>9</xdr:col>
      <xdr:colOff>403860</xdr:colOff>
      <xdr:row>2</xdr:row>
      <xdr:rowOff>251460</xdr:rowOff>
    </xdr:to>
    <xdr:sp macro="[0]!copySentence_Click" textlink="">
      <xdr:nvSpPr>
        <xdr:cNvPr id="10" name="TextBox 9">
          <a:extLst>
            <a:ext uri="{FF2B5EF4-FFF2-40B4-BE49-F238E27FC236}">
              <a16:creationId xmlns:a16="http://schemas.microsoft.com/office/drawing/2014/main" id="{3D76CD65-2A94-24C0-03EE-D99CEBC6D8F4}"/>
            </a:ext>
          </a:extLst>
        </xdr:cNvPr>
        <xdr:cNvSpPr txBox="1"/>
      </xdr:nvSpPr>
      <xdr:spPr>
        <a:xfrm>
          <a:off x="1282700" y="1054100"/>
          <a:ext cx="322580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sentence </a:t>
          </a:r>
          <a:r>
            <a:rPr lang="zh-TW" altLang="en-US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抄句子 </a:t>
          </a:r>
          <a:endParaRPr lang="en-GB" sz="1400" b="1"/>
        </a:p>
      </xdr:txBody>
    </xdr:sp>
    <xdr:clientData/>
  </xdr:twoCellAnchor>
  <xdr:twoCellAnchor>
    <xdr:from>
      <xdr:col>2</xdr:col>
      <xdr:colOff>18097</xdr:colOff>
      <xdr:row>1</xdr:row>
      <xdr:rowOff>21590</xdr:rowOff>
    </xdr:from>
    <xdr:to>
      <xdr:col>9</xdr:col>
      <xdr:colOff>403860</xdr:colOff>
      <xdr:row>2</xdr:row>
      <xdr:rowOff>5715</xdr:rowOff>
    </xdr:to>
    <xdr:sp macro="[0]!clearSentence_Click" textlink="">
      <xdr:nvSpPr>
        <xdr:cNvPr id="14" name="TextBox 13">
          <a:extLst>
            <a:ext uri="{FF2B5EF4-FFF2-40B4-BE49-F238E27FC236}">
              <a16:creationId xmlns:a16="http://schemas.microsoft.com/office/drawing/2014/main" id="{8FA7D180-0BD7-ECC0-06EE-B8A5052FB202}"/>
            </a:ext>
          </a:extLst>
        </xdr:cNvPr>
        <xdr:cNvSpPr txBox="1"/>
      </xdr:nvSpPr>
      <xdr:spPr>
        <a:xfrm>
          <a:off x="1277937" y="798830"/>
          <a:ext cx="3230563" cy="2533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 sentence </a:t>
          </a:r>
          <a:r>
            <a:rPr lang="zh-TW" altLang="en-US" sz="14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清除句子 </a:t>
          </a:r>
          <a:endParaRPr lang="en-GB" sz="1400" b="1"/>
        </a:p>
      </xdr:txBody>
    </xdr:sp>
    <xdr:clientData/>
  </xdr:twoCellAnchor>
  <xdr:twoCellAnchor>
    <xdr:from>
      <xdr:col>18</xdr:col>
      <xdr:colOff>202557</xdr:colOff>
      <xdr:row>8</xdr:row>
      <xdr:rowOff>144683</xdr:rowOff>
    </xdr:from>
    <xdr:to>
      <xdr:col>21</xdr:col>
      <xdr:colOff>493059</xdr:colOff>
      <xdr:row>9</xdr:row>
      <xdr:rowOff>33618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90457F9-76B2-B725-09B9-3E497F10C390}"/>
            </a:ext>
          </a:extLst>
        </xdr:cNvPr>
        <xdr:cNvSpPr txBox="1"/>
      </xdr:nvSpPr>
      <xdr:spPr>
        <a:xfrm>
          <a:off x="7912204" y="4571007"/>
          <a:ext cx="1511943" cy="594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small r top stack</a:t>
          </a:r>
          <a:br>
            <a:rPr lang="en-GB" sz="1400" b="1"/>
          </a:br>
          <a:r>
            <a:rPr lang="zh-CN" altLang="en-US" sz="1400" b="1"/>
            <a:t>小上加字</a:t>
          </a:r>
          <a:endParaRPr lang="en-GB" sz="1400" b="1"/>
        </a:p>
      </xdr:txBody>
    </xdr:sp>
    <xdr:clientData/>
  </xdr:twoCellAnchor>
  <xdr:twoCellAnchor>
    <xdr:from>
      <xdr:col>19</xdr:col>
      <xdr:colOff>289367</xdr:colOff>
      <xdr:row>7</xdr:row>
      <xdr:rowOff>607671</xdr:rowOff>
    </xdr:from>
    <xdr:to>
      <xdr:col>20</xdr:col>
      <xdr:colOff>86810</xdr:colOff>
      <xdr:row>8</xdr:row>
      <xdr:rowOff>183266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6DB997E1-75AD-F849-AAEA-4B2B23BA6D47}"/>
            </a:ext>
          </a:extLst>
        </xdr:cNvPr>
        <xdr:cNvCxnSpPr/>
      </xdr:nvCxnSpPr>
      <xdr:spPr>
        <a:xfrm flipV="1">
          <a:off x="8430228" y="4340506"/>
          <a:ext cx="202557" cy="279722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914F-DF13-47E0-A3DE-3A998B96E1EF}">
  <sheetPr codeName="Sheet3"/>
  <dimension ref="A1:BL23"/>
  <sheetViews>
    <sheetView tabSelected="1" zoomScale="73" zoomScaleNormal="73" workbookViewId="0">
      <selection activeCell="C5" sqref="C5:F5"/>
    </sheetView>
  </sheetViews>
  <sheetFormatPr defaultRowHeight="15.6" x14ac:dyDescent="0.3"/>
  <cols>
    <col min="1" max="1" width="12.44140625" style="4" customWidth="1"/>
    <col min="2" max="20" width="5.88671875" customWidth="1"/>
    <col min="21" max="21" width="6" customWidth="1"/>
    <col min="22" max="22" width="7.6640625" customWidth="1"/>
    <col min="23" max="23" width="6" customWidth="1"/>
    <col min="24" max="24" width="7.33203125" customWidth="1"/>
    <col min="25" max="25" width="16.33203125" customWidth="1"/>
    <col min="26" max="27" width="6" customWidth="1"/>
    <col min="28" max="50" width="6" hidden="1" customWidth="1"/>
    <col min="51" max="52" width="0" hidden="1" customWidth="1"/>
  </cols>
  <sheetData>
    <row r="1" spans="1:64" ht="61.2" customHeight="1" x14ac:dyDescent="0.85">
      <c r="A1" s="54" t="s">
        <v>4</v>
      </c>
      <c r="B1" s="55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"/>
      <c r="AX1">
        <f>16*16</f>
        <v>256</v>
      </c>
      <c r="AY1">
        <f>13+32+4</f>
        <v>49</v>
      </c>
      <c r="AZ1">
        <f>AX1-AY1</f>
        <v>207</v>
      </c>
    </row>
    <row r="2" spans="1:64" ht="21" x14ac:dyDescent="0.4">
      <c r="C2" s="59" t="s">
        <v>5</v>
      </c>
      <c r="D2" s="60"/>
      <c r="E2" s="60"/>
      <c r="F2" s="60"/>
      <c r="G2" s="60"/>
      <c r="H2" s="60"/>
      <c r="I2" s="60"/>
      <c r="J2" s="61"/>
      <c r="L2" s="59" t="s">
        <v>40</v>
      </c>
      <c r="M2" s="60"/>
      <c r="N2" s="60"/>
      <c r="O2" s="60"/>
      <c r="P2" s="60"/>
      <c r="Q2" s="60"/>
      <c r="R2" s="60"/>
      <c r="S2" s="61"/>
    </row>
    <row r="3" spans="1:64" ht="21" x14ac:dyDescent="0.4">
      <c r="C3" s="59" t="s">
        <v>6</v>
      </c>
      <c r="D3" s="60"/>
      <c r="E3" s="60"/>
      <c r="F3" s="60"/>
      <c r="G3" s="60"/>
      <c r="H3" s="60"/>
      <c r="I3" s="60"/>
      <c r="J3" s="61"/>
      <c r="L3" s="59" t="s">
        <v>41</v>
      </c>
      <c r="M3" s="60"/>
      <c r="N3" s="60"/>
      <c r="O3" s="60"/>
      <c r="P3" s="60"/>
      <c r="Q3" s="60"/>
      <c r="R3" s="60"/>
      <c r="S3" s="61"/>
    </row>
    <row r="4" spans="1:64" ht="21.6" thickBot="1" x14ac:dyDescent="0.45">
      <c r="A4" s="56"/>
      <c r="B4" s="55"/>
      <c r="C4" s="59" t="s">
        <v>42</v>
      </c>
      <c r="D4" s="60"/>
      <c r="E4" s="60"/>
      <c r="F4" s="60"/>
      <c r="G4" s="60"/>
      <c r="H4" s="60"/>
      <c r="I4" s="60"/>
      <c r="J4" s="61"/>
      <c r="L4" s="62"/>
      <c r="M4" s="63"/>
      <c r="N4" s="63"/>
      <c r="O4" s="63"/>
      <c r="P4" s="63"/>
      <c r="Q4" s="63"/>
      <c r="R4" s="63"/>
      <c r="S4" s="64"/>
      <c r="AZ4">
        <f>SUM(AZ6:AZ21)</f>
        <v>207</v>
      </c>
    </row>
    <row r="5" spans="1:64" ht="57.6" thickBot="1" x14ac:dyDescent="1.45">
      <c r="A5" s="54" t="s">
        <v>43</v>
      </c>
      <c r="B5" s="55"/>
      <c r="C5" s="65" t="str">
        <f>IF(ISNA(X5),"",X5)</f>
        <v/>
      </c>
      <c r="D5" s="66"/>
      <c r="E5" s="66"/>
      <c r="F5" s="67"/>
      <c r="G5" s="8"/>
      <c r="H5" s="8"/>
      <c r="I5" s="8"/>
      <c r="J5" s="8"/>
      <c r="K5" s="8"/>
      <c r="L5" s="6"/>
      <c r="X5" s="53" t="e" cm="1">
        <f t="array" ref="X5">_xlfn.XLOOKUP(TRUE,Y6:Y11&lt;&gt;"",Y6:Y11,,,-1)</f>
        <v>#N/A</v>
      </c>
      <c r="Y5" s="53"/>
      <c r="Z5" s="53"/>
    </row>
    <row r="6" spans="1:64" s="2" customFormat="1" ht="55.2" x14ac:dyDescent="1.25">
      <c r="A6" s="49" t="s">
        <v>0</v>
      </c>
      <c r="B6" s="34" t="str">
        <f t="shared" ref="B6:B16" si="0">_xlfn.UNICHAR(AB6)</f>
        <v>ༀ</v>
      </c>
      <c r="C6" s="34" t="str">
        <f t="shared" ref="C6:U6" si="1">_xlfn.UNICHAR(AC6)</f>
        <v>༁</v>
      </c>
      <c r="D6" s="34" t="str">
        <f t="shared" si="1"/>
        <v>༂</v>
      </c>
      <c r="E6" s="34" t="str">
        <f t="shared" si="1"/>
        <v>༃</v>
      </c>
      <c r="F6" s="34" t="str">
        <f t="shared" si="1"/>
        <v>༠</v>
      </c>
      <c r="G6" s="34" t="str">
        <f t="shared" si="1"/>
        <v>༡</v>
      </c>
      <c r="H6" s="34" t="str">
        <f t="shared" si="1"/>
        <v>༢</v>
      </c>
      <c r="I6" s="34" t="str">
        <f t="shared" si="1"/>
        <v>༣</v>
      </c>
      <c r="J6" s="34" t="str">
        <f t="shared" si="1"/>
        <v>༤</v>
      </c>
      <c r="K6" s="34" t="str">
        <f t="shared" si="1"/>
        <v>༥</v>
      </c>
      <c r="L6" s="34" t="str">
        <f t="shared" si="1"/>
        <v>༦</v>
      </c>
      <c r="M6" s="34" t="str">
        <f t="shared" si="1"/>
        <v>༧</v>
      </c>
      <c r="N6" s="34" t="str">
        <f t="shared" si="1"/>
        <v>༨</v>
      </c>
      <c r="O6" s="34" t="str">
        <f t="shared" si="1"/>
        <v>༩</v>
      </c>
      <c r="P6" s="34" t="str">
        <f t="shared" si="1"/>
        <v>༪</v>
      </c>
      <c r="Q6" s="34" t="str">
        <f t="shared" si="1"/>
        <v>༫</v>
      </c>
      <c r="R6" s="34" t="str">
        <f t="shared" si="1"/>
        <v>༬</v>
      </c>
      <c r="S6" s="34" t="str">
        <f t="shared" si="1"/>
        <v>༭</v>
      </c>
      <c r="T6" s="34" t="str">
        <f t="shared" si="1"/>
        <v>༮</v>
      </c>
      <c r="U6" s="34" t="str">
        <f t="shared" si="1"/>
        <v>༯</v>
      </c>
      <c r="W6" s="22">
        <v>1</v>
      </c>
      <c r="X6" s="48"/>
      <c r="Y6" s="41" t="str">
        <f>IF(X6="", "", _xlfn.UNICHAR(X6))</f>
        <v/>
      </c>
      <c r="Z6" s="41"/>
      <c r="AB6" s="9">
        <v>3840</v>
      </c>
      <c r="AC6" s="9">
        <v>3841</v>
      </c>
      <c r="AD6" s="9">
        <v>3842</v>
      </c>
      <c r="AE6" s="9">
        <v>3843</v>
      </c>
      <c r="AF6" s="9">
        <v>3872</v>
      </c>
      <c r="AG6" s="9">
        <v>3873</v>
      </c>
      <c r="AH6" s="9">
        <v>3874</v>
      </c>
      <c r="AI6" s="9">
        <v>3875</v>
      </c>
      <c r="AJ6" s="9">
        <v>3876</v>
      </c>
      <c r="AK6" s="9">
        <v>3877</v>
      </c>
      <c r="AL6" s="9">
        <v>3878</v>
      </c>
      <c r="AM6" s="9">
        <v>3879</v>
      </c>
      <c r="AN6" s="9">
        <v>3880</v>
      </c>
      <c r="AO6" s="9">
        <v>3881</v>
      </c>
      <c r="AP6" s="9">
        <v>3882</v>
      </c>
      <c r="AQ6" s="9">
        <v>3883</v>
      </c>
      <c r="AR6" s="9">
        <v>3884</v>
      </c>
      <c r="AS6" s="9">
        <v>3885</v>
      </c>
      <c r="AT6" s="9">
        <v>3886</v>
      </c>
      <c r="AU6" s="9">
        <v>3887</v>
      </c>
      <c r="AV6"/>
      <c r="AW6"/>
      <c r="AX6">
        <f>4*20</f>
        <v>80</v>
      </c>
      <c r="AY6">
        <v>3</v>
      </c>
      <c r="AZ6">
        <f>AX6-AY6</f>
        <v>77</v>
      </c>
      <c r="BA6"/>
      <c r="BB6"/>
      <c r="BC6"/>
      <c r="BD6"/>
      <c r="BE6"/>
    </row>
    <row r="7" spans="1:64" s="2" customFormat="1" ht="55.2" x14ac:dyDescent="1.25">
      <c r="A7" s="49"/>
      <c r="B7" s="34" t="str">
        <f t="shared" si="0"/>
        <v>༰</v>
      </c>
      <c r="C7" s="34" t="str">
        <f t="shared" ref="C7:C9" si="2">_xlfn.UNICHAR(AC7)</f>
        <v>༱</v>
      </c>
      <c r="D7" s="34" t="str">
        <f t="shared" ref="D7:D9" si="3">_xlfn.UNICHAR(AD7)</f>
        <v>༲</v>
      </c>
      <c r="E7" s="34" t="str">
        <f t="shared" ref="E7:E9" si="4">_xlfn.UNICHAR(AE7)</f>
        <v>༳</v>
      </c>
      <c r="F7" s="34" t="str">
        <f t="shared" ref="F7:F9" si="5">_xlfn.UNICHAR(AF7)</f>
        <v>ཀ</v>
      </c>
      <c r="G7" s="43" t="str">
        <f t="shared" ref="G7:G9" si="6">_xlfn.UNICHAR(AG7)</f>
        <v>ཫ</v>
      </c>
      <c r="H7" s="34" t="str">
        <f t="shared" ref="H7:H9" si="7">_xlfn.UNICHAR(AH7)</f>
        <v>ཁ</v>
      </c>
      <c r="I7" s="34" t="str">
        <f t="shared" ref="I7:I9" si="8">_xlfn.UNICHAR(AI7)</f>
        <v>ག</v>
      </c>
      <c r="J7" s="34" t="str">
        <f t="shared" ref="J7:J9" si="9">_xlfn.UNICHAR(AJ7)</f>
        <v>གྷ</v>
      </c>
      <c r="K7" s="34" t="str">
        <f t="shared" ref="K7:K9" si="10">_xlfn.UNICHAR(AK7)</f>
        <v>ང</v>
      </c>
      <c r="L7" s="34" t="str">
        <f t="shared" ref="L7:L9" si="11">_xlfn.UNICHAR(AL7)</f>
        <v>ཅ</v>
      </c>
      <c r="M7" s="34" t="str">
        <f t="shared" ref="M7:M9" si="12">_xlfn.UNICHAR(AM7)</f>
        <v>ཆ</v>
      </c>
      <c r="N7" s="34" t="str">
        <f t="shared" ref="N7:O9" si="13">_xlfn.UNICHAR(AN7)</f>
        <v>ཇ</v>
      </c>
      <c r="O7" s="34" t="str">
        <f t="shared" si="13"/>
        <v>ཉ</v>
      </c>
      <c r="P7" s="34" t="str">
        <f t="shared" ref="P7:P9" si="14">_xlfn.UNICHAR(AP7)</f>
        <v>ཏ</v>
      </c>
      <c r="Q7" s="44" t="str">
        <f t="shared" ref="Q7:Q9" si="15">_xlfn.UNICHAR(AQ7)</f>
        <v>ཊ</v>
      </c>
      <c r="R7" s="34" t="str">
        <f t="shared" ref="R7:R9" si="16">_xlfn.UNICHAR(AR7)</f>
        <v>ཐ</v>
      </c>
      <c r="S7" s="44" t="str">
        <f t="shared" ref="S7:S8" si="17">_xlfn.UNICHAR(AS7)</f>
        <v>ཋ</v>
      </c>
      <c r="T7" s="34" t="str">
        <f t="shared" ref="T7:T8" si="18">_xlfn.UNICHAR(AT7)</f>
        <v>ད</v>
      </c>
      <c r="U7" s="44" t="str">
        <f t="shared" ref="U7:U8" si="19">_xlfn.UNICHAR(AU7)</f>
        <v>ཌ</v>
      </c>
      <c r="W7" s="22">
        <v>2</v>
      </c>
      <c r="X7" s="48"/>
      <c r="Y7" s="41" t="str">
        <f>IF(X7="", "",Y6&amp; _xlfn.UNICHAR(X7))</f>
        <v/>
      </c>
      <c r="Z7" s="41"/>
      <c r="AB7" s="9">
        <v>3888</v>
      </c>
      <c r="AC7" s="9">
        <v>3889</v>
      </c>
      <c r="AD7" s="9">
        <v>3890</v>
      </c>
      <c r="AE7" s="9">
        <v>3891</v>
      </c>
      <c r="AF7" s="9">
        <v>3904</v>
      </c>
      <c r="AG7" s="9">
        <v>3947</v>
      </c>
      <c r="AH7" s="9">
        <v>3905</v>
      </c>
      <c r="AI7" s="9">
        <v>3906</v>
      </c>
      <c r="AJ7" s="9">
        <v>3907</v>
      </c>
      <c r="AK7" s="9">
        <v>3908</v>
      </c>
      <c r="AL7" s="9">
        <v>3909</v>
      </c>
      <c r="AM7" s="9">
        <v>3910</v>
      </c>
      <c r="AN7" s="9">
        <v>3911</v>
      </c>
      <c r="AO7" s="9">
        <v>3913</v>
      </c>
      <c r="AP7" s="9">
        <v>3919</v>
      </c>
      <c r="AQ7" s="9">
        <v>3914</v>
      </c>
      <c r="AR7" s="9">
        <v>3920</v>
      </c>
      <c r="AS7" s="9">
        <v>3915</v>
      </c>
      <c r="AT7" s="9">
        <v>3921</v>
      </c>
      <c r="AU7" s="9">
        <v>3916</v>
      </c>
      <c r="AV7"/>
      <c r="AW7"/>
      <c r="AX7"/>
      <c r="AY7"/>
      <c r="AZ7"/>
      <c r="BA7"/>
      <c r="BB7"/>
      <c r="BC7"/>
      <c r="BD7"/>
      <c r="BE7"/>
    </row>
    <row r="8" spans="1:64" s="2" customFormat="1" ht="55.2" x14ac:dyDescent="1.25">
      <c r="A8" s="49"/>
      <c r="B8" s="34" t="str">
        <f t="shared" si="0"/>
        <v>དྷ</v>
      </c>
      <c r="C8" s="34" t="str">
        <f t="shared" si="2"/>
        <v>ཌྷ</v>
      </c>
      <c r="D8" s="34" t="str">
        <f t="shared" si="3"/>
        <v>ན</v>
      </c>
      <c r="E8" s="44" t="str">
        <f t="shared" si="4"/>
        <v>ཎ</v>
      </c>
      <c r="F8" s="34" t="str">
        <f t="shared" si="5"/>
        <v>པ</v>
      </c>
      <c r="G8" s="34" t="str">
        <f t="shared" si="6"/>
        <v>ཕ</v>
      </c>
      <c r="H8" s="34" t="str">
        <f t="shared" si="7"/>
        <v>བ</v>
      </c>
      <c r="I8" s="34" t="str">
        <f t="shared" si="8"/>
        <v>བྷ</v>
      </c>
      <c r="J8" s="34" t="str">
        <f t="shared" si="9"/>
        <v>མ</v>
      </c>
      <c r="K8" s="34" t="str">
        <f t="shared" si="10"/>
        <v>ཙ</v>
      </c>
      <c r="L8" s="34" t="str">
        <f t="shared" si="11"/>
        <v>ཚ</v>
      </c>
      <c r="M8" s="34" t="str">
        <f t="shared" si="12"/>
        <v>ཛ</v>
      </c>
      <c r="N8" s="34" t="str">
        <f t="shared" ref="N8:N9" si="20">_xlfn.UNICHAR(AN8)</f>
        <v>ཛྷ</v>
      </c>
      <c r="O8" s="34" t="str">
        <f t="shared" si="13"/>
        <v>ཝ</v>
      </c>
      <c r="P8" s="34" t="str">
        <f t="shared" si="14"/>
        <v>ཞ</v>
      </c>
      <c r="Q8" s="34" t="str">
        <f t="shared" si="15"/>
        <v>ཟ</v>
      </c>
      <c r="R8" s="34" t="str">
        <f t="shared" si="16"/>
        <v>འ</v>
      </c>
      <c r="S8" s="34" t="str">
        <f t="shared" si="17"/>
        <v>ཡ</v>
      </c>
      <c r="T8" s="34" t="str">
        <f t="shared" si="18"/>
        <v>ཪ</v>
      </c>
      <c r="U8" s="45" t="str">
        <f t="shared" si="19"/>
        <v>ར</v>
      </c>
      <c r="W8" s="22">
        <v>3</v>
      </c>
      <c r="X8" s="48"/>
      <c r="Y8" s="41" t="str">
        <f>IF(X8="", "",Y7&amp; _xlfn.UNICHAR(X8))</f>
        <v/>
      </c>
      <c r="Z8" s="48"/>
      <c r="AA8"/>
      <c r="AB8" s="9">
        <v>3922</v>
      </c>
      <c r="AC8" s="9">
        <v>3917</v>
      </c>
      <c r="AD8" s="9">
        <v>3923</v>
      </c>
      <c r="AE8" s="9">
        <v>3918</v>
      </c>
      <c r="AF8" s="9">
        <v>3924</v>
      </c>
      <c r="AG8" s="9">
        <v>3925</v>
      </c>
      <c r="AH8" s="9">
        <v>3926</v>
      </c>
      <c r="AI8" s="9">
        <v>3927</v>
      </c>
      <c r="AJ8" s="9">
        <v>3928</v>
      </c>
      <c r="AK8" s="9">
        <v>3929</v>
      </c>
      <c r="AL8" s="9">
        <v>3930</v>
      </c>
      <c r="AM8" s="9">
        <v>3931</v>
      </c>
      <c r="AN8" s="9">
        <v>3932</v>
      </c>
      <c r="AO8" s="9">
        <v>3933</v>
      </c>
      <c r="AP8" s="9">
        <v>3934</v>
      </c>
      <c r="AQ8" s="9">
        <v>3935</v>
      </c>
      <c r="AR8" s="9">
        <v>3936</v>
      </c>
      <c r="AS8" s="9">
        <v>3937</v>
      </c>
      <c r="AT8" s="9">
        <v>3946</v>
      </c>
      <c r="AU8" s="9">
        <v>3938</v>
      </c>
      <c r="AV8"/>
      <c r="AW8"/>
      <c r="AX8"/>
      <c r="AY8"/>
      <c r="AZ8"/>
      <c r="BA8"/>
      <c r="BB8"/>
      <c r="BC8"/>
      <c r="BD8"/>
      <c r="BE8"/>
    </row>
    <row r="9" spans="1:64" s="2" customFormat="1" ht="55.2" x14ac:dyDescent="1.25">
      <c r="A9" s="49"/>
      <c r="B9" s="44" t="str">
        <f t="shared" si="0"/>
        <v>ཬ</v>
      </c>
      <c r="C9" s="34" t="str">
        <f t="shared" si="2"/>
        <v>ལ</v>
      </c>
      <c r="D9" s="34" t="str">
        <f t="shared" si="3"/>
        <v>ཤ</v>
      </c>
      <c r="E9" s="44" t="str">
        <f t="shared" si="4"/>
        <v>ཥ</v>
      </c>
      <c r="F9" s="34" t="str">
        <f t="shared" si="5"/>
        <v>ས</v>
      </c>
      <c r="G9" s="34" t="str">
        <f t="shared" si="6"/>
        <v>ཧ</v>
      </c>
      <c r="H9" s="34" t="str">
        <f t="shared" si="7"/>
        <v>ཨ</v>
      </c>
      <c r="I9" s="34" t="str">
        <f t="shared" si="8"/>
        <v>ཀྵ</v>
      </c>
      <c r="J9" s="34" t="str">
        <f t="shared" si="9"/>
        <v>྅</v>
      </c>
      <c r="K9" s="34" t="str">
        <f t="shared" si="10"/>
        <v>ྈ</v>
      </c>
      <c r="L9" s="34" t="str">
        <f t="shared" si="11"/>
        <v>ྉ</v>
      </c>
      <c r="M9" s="34" t="str">
        <f t="shared" si="12"/>
        <v>ྌ</v>
      </c>
      <c r="N9" s="34" t="str">
        <f t="shared" si="20"/>
        <v>ྋ</v>
      </c>
      <c r="O9" s="34" t="str">
        <f t="shared" si="13"/>
        <v>༸</v>
      </c>
      <c r="P9" s="34" t="str">
        <f t="shared" si="14"/>
        <v>ྊ</v>
      </c>
      <c r="Q9" s="34" t="str">
        <f t="shared" si="15"/>
        <v>࿐</v>
      </c>
      <c r="R9" s="34" t="str">
        <f t="shared" si="16"/>
        <v>࿑</v>
      </c>
      <c r="S9" s="34"/>
      <c r="T9" s="34"/>
      <c r="U9" s="34"/>
      <c r="W9" s="22">
        <v>4</v>
      </c>
      <c r="X9" s="48"/>
      <c r="Y9" s="41" t="str">
        <f>IF(X9="", "",Y8&amp; _xlfn.UNICHAR(X9))</f>
        <v/>
      </c>
      <c r="Z9" s="41"/>
      <c r="AB9" s="9">
        <v>3948</v>
      </c>
      <c r="AC9" s="9">
        <v>3939</v>
      </c>
      <c r="AD9" s="9">
        <v>3940</v>
      </c>
      <c r="AE9" s="9">
        <v>3941</v>
      </c>
      <c r="AF9" s="9">
        <v>3942</v>
      </c>
      <c r="AG9" s="9">
        <v>3943</v>
      </c>
      <c r="AH9" s="9">
        <v>3944</v>
      </c>
      <c r="AI9" s="9">
        <v>3945</v>
      </c>
      <c r="AJ9" s="9">
        <v>3973</v>
      </c>
      <c r="AK9" s="9">
        <v>3976</v>
      </c>
      <c r="AL9" s="9">
        <v>3977</v>
      </c>
      <c r="AM9" s="9">
        <v>3980</v>
      </c>
      <c r="AN9" s="9">
        <v>3979</v>
      </c>
      <c r="AO9" s="9">
        <v>3896</v>
      </c>
      <c r="AP9" s="9">
        <v>3978</v>
      </c>
      <c r="AQ9" s="9">
        <v>4048</v>
      </c>
      <c r="AR9" s="9">
        <v>4049</v>
      </c>
      <c r="AS9" s="9"/>
      <c r="AT9" s="9"/>
      <c r="AU9" s="10"/>
      <c r="AV9"/>
      <c r="AW9"/>
      <c r="AX9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</row>
    <row r="10" spans="1:64" s="2" customFormat="1" ht="57" x14ac:dyDescent="0.95">
      <c r="A10" s="50" t="s">
        <v>1</v>
      </c>
      <c r="B10" s="35" t="str">
        <f t="shared" si="0"/>
        <v>ྐ</v>
      </c>
      <c r="C10" s="35" t="str">
        <f t="shared" ref="C10" si="21">_xlfn.UNICHAR(AC10)</f>
        <v>ྑ</v>
      </c>
      <c r="D10" s="35" t="str">
        <f t="shared" ref="D10" si="22">_xlfn.UNICHAR(AD10)</f>
        <v>ྒ</v>
      </c>
      <c r="E10" s="35" t="str">
        <f t="shared" ref="E10" si="23">_xlfn.UNICHAR(AE10)</f>
        <v>ྔ</v>
      </c>
      <c r="F10" s="35" t="str">
        <f t="shared" ref="F10" si="24">_xlfn.UNICHAR(AF10)</f>
        <v>ྕ</v>
      </c>
      <c r="G10" s="35" t="str">
        <f t="shared" ref="G10" si="25">_xlfn.UNICHAR(AG10)</f>
        <v>ྖ</v>
      </c>
      <c r="H10" s="35" t="str">
        <f t="shared" ref="H10" si="26">_xlfn.UNICHAR(AH10)</f>
        <v>ྗ</v>
      </c>
      <c r="I10" s="35" t="str">
        <f t="shared" ref="I10" si="27">_xlfn.UNICHAR(AI10)</f>
        <v>ྙ</v>
      </c>
      <c r="J10" s="35" t="str">
        <f t="shared" ref="J10" si="28">_xlfn.UNICHAR(AJ10)</f>
        <v>ྟ</v>
      </c>
      <c r="K10" s="47" t="str">
        <f t="shared" ref="K10" si="29">_xlfn.UNICHAR(AK10)</f>
        <v>ྚ</v>
      </c>
      <c r="L10" s="35" t="str">
        <f t="shared" ref="L10" si="30">_xlfn.UNICHAR(AL10)</f>
        <v>ྠ</v>
      </c>
      <c r="M10" s="47" t="str">
        <f t="shared" ref="M10" si="31">_xlfn.UNICHAR(AM10)</f>
        <v>ྛ</v>
      </c>
      <c r="N10" s="35" t="str">
        <f t="shared" ref="N10" si="32">_xlfn.UNICHAR(AN10)</f>
        <v>ྡ</v>
      </c>
      <c r="O10" s="47" t="str">
        <f t="shared" ref="O10" si="33">_xlfn.UNICHAR(AO10)</f>
        <v>ྜ</v>
      </c>
      <c r="P10" s="35" t="str">
        <f t="shared" ref="P10" si="34">_xlfn.UNICHAR(AP10)</f>
        <v>ྣ</v>
      </c>
      <c r="Q10" s="47" t="str">
        <f t="shared" ref="Q10" si="35">_xlfn.UNICHAR(AQ10)</f>
        <v>ྞ</v>
      </c>
      <c r="R10" s="35" t="str">
        <f t="shared" ref="R10" si="36">_xlfn.UNICHAR(AR10)</f>
        <v>ྤ</v>
      </c>
      <c r="S10" s="46" t="str">
        <f t="shared" ref="S10" si="37">_xlfn.UNICHAR(AS10)</f>
        <v>ྥ</v>
      </c>
      <c r="T10" s="35" t="str">
        <f t="shared" ref="T10" si="38">_xlfn.UNICHAR(AT10)</f>
        <v>ྦ</v>
      </c>
      <c r="U10" s="46" t="str">
        <f t="shared" ref="U10" si="39">_xlfn.UNICHAR(AU10)</f>
        <v>ྨ</v>
      </c>
      <c r="W10" s="22">
        <v>5</v>
      </c>
      <c r="X10" s="48"/>
      <c r="Y10" s="41" t="str">
        <f>IF(X10="", "",Y9&amp; _xlfn.UNICHAR(X10))</f>
        <v/>
      </c>
      <c r="Z10" s="48"/>
      <c r="AA10"/>
      <c r="AB10" s="11">
        <v>3984</v>
      </c>
      <c r="AC10" s="11">
        <v>3985</v>
      </c>
      <c r="AD10" s="11">
        <v>3986</v>
      </c>
      <c r="AE10" s="11">
        <v>3988</v>
      </c>
      <c r="AF10" s="11">
        <v>3989</v>
      </c>
      <c r="AG10" s="11">
        <v>3990</v>
      </c>
      <c r="AH10" s="11">
        <v>3991</v>
      </c>
      <c r="AI10" s="11">
        <v>3993</v>
      </c>
      <c r="AJ10" s="11">
        <v>3999</v>
      </c>
      <c r="AK10" s="11">
        <v>3994</v>
      </c>
      <c r="AL10" s="11">
        <v>4000</v>
      </c>
      <c r="AM10" s="11">
        <v>3995</v>
      </c>
      <c r="AN10" s="11">
        <v>4001</v>
      </c>
      <c r="AO10" s="11">
        <v>3996</v>
      </c>
      <c r="AP10" s="11">
        <v>4003</v>
      </c>
      <c r="AQ10" s="11">
        <v>3998</v>
      </c>
      <c r="AR10" s="11">
        <v>4004</v>
      </c>
      <c r="AS10" s="11">
        <v>4005</v>
      </c>
      <c r="AT10" s="11">
        <v>4006</v>
      </c>
      <c r="AU10" s="11">
        <v>4008</v>
      </c>
      <c r="AV10"/>
      <c r="AW10"/>
      <c r="AX10">
        <f>60</f>
        <v>60</v>
      </c>
      <c r="AY10">
        <v>1</v>
      </c>
      <c r="AZ10">
        <f>AX10-AY10</f>
        <v>59</v>
      </c>
      <c r="BA10"/>
      <c r="BB10"/>
      <c r="BC10"/>
      <c r="BD10"/>
      <c r="BE10"/>
      <c r="BF10"/>
      <c r="BG10"/>
      <c r="BH10"/>
      <c r="BI10"/>
      <c r="BJ10"/>
      <c r="BK10"/>
      <c r="BL10"/>
    </row>
    <row r="11" spans="1:64" s="2" customFormat="1" ht="57" x14ac:dyDescent="0.95">
      <c r="A11" s="50"/>
      <c r="B11" s="35" t="str">
        <f t="shared" ref="B11:U11" si="40">_xlfn.UNICHAR(AB11)</f>
        <v>ྩ</v>
      </c>
      <c r="C11" s="46" t="str">
        <f t="shared" si="40"/>
        <v>ྪ</v>
      </c>
      <c r="D11" s="35" t="str">
        <f t="shared" si="40"/>
        <v>ྫ</v>
      </c>
      <c r="E11" s="46" t="str">
        <f t="shared" si="40"/>
        <v>ྮ</v>
      </c>
      <c r="F11" s="35" t="str">
        <f t="shared" si="40"/>
        <v>ྯ</v>
      </c>
      <c r="G11" s="35" t="str">
        <f t="shared" si="40"/>
        <v>ྰ</v>
      </c>
      <c r="H11" s="35" t="str">
        <f t="shared" si="40"/>
        <v>ླ</v>
      </c>
      <c r="I11" s="35" t="str">
        <f t="shared" si="40"/>
        <v>ྴ</v>
      </c>
      <c r="J11" s="47" t="str">
        <f t="shared" si="40"/>
        <v>ྵ</v>
      </c>
      <c r="K11" s="35" t="str">
        <f t="shared" si="40"/>
        <v>ྶ</v>
      </c>
      <c r="L11" s="35" t="str">
        <f t="shared" si="40"/>
        <v>ྷ</v>
      </c>
      <c r="M11" s="35" t="str">
        <f t="shared" si="40"/>
        <v>ྸ</v>
      </c>
      <c r="N11" s="35" t="str">
        <f t="shared" si="40"/>
        <v>ྺ</v>
      </c>
      <c r="O11" s="35" t="str">
        <f t="shared" si="40"/>
        <v>ྻ</v>
      </c>
      <c r="P11" s="35" t="str">
        <f t="shared" si="40"/>
        <v>ྼ</v>
      </c>
      <c r="Q11" s="35" t="str">
        <f t="shared" si="40"/>
        <v>ུ</v>
      </c>
      <c r="R11" s="35" t="str">
        <f t="shared" si="40"/>
        <v>྄</v>
      </c>
      <c r="S11" s="35" t="str">
        <f t="shared" si="40"/>
        <v>༵</v>
      </c>
      <c r="T11" s="46" t="str">
        <f t="shared" si="40"/>
        <v>༷</v>
      </c>
      <c r="U11" s="35" t="str">
        <f t="shared" si="40"/>
        <v>ྭ</v>
      </c>
      <c r="W11" s="22">
        <v>6</v>
      </c>
      <c r="X11" s="48"/>
      <c r="Y11" s="41" t="str">
        <f>IF(X11="", "",Y10&amp; _xlfn.UNICHAR(X11))</f>
        <v/>
      </c>
      <c r="Z11" s="41"/>
      <c r="AB11" s="11">
        <v>4009</v>
      </c>
      <c r="AC11" s="11">
        <v>4010</v>
      </c>
      <c r="AD11" s="11">
        <v>4011</v>
      </c>
      <c r="AE11" s="11">
        <v>4014</v>
      </c>
      <c r="AF11" s="11">
        <v>4015</v>
      </c>
      <c r="AG11" s="11">
        <v>4016</v>
      </c>
      <c r="AH11" s="11">
        <v>4019</v>
      </c>
      <c r="AI11" s="11">
        <v>4020</v>
      </c>
      <c r="AJ11" s="11">
        <v>4021</v>
      </c>
      <c r="AK11" s="11">
        <v>4022</v>
      </c>
      <c r="AL11" s="12">
        <v>4023</v>
      </c>
      <c r="AM11" s="11">
        <v>4024</v>
      </c>
      <c r="AN11" s="11">
        <v>4026</v>
      </c>
      <c r="AO11" s="11">
        <v>4027</v>
      </c>
      <c r="AP11" s="11">
        <v>4028</v>
      </c>
      <c r="AQ11" s="11">
        <v>3956</v>
      </c>
      <c r="AR11" s="11">
        <v>3972</v>
      </c>
      <c r="AS11" s="11">
        <v>3893</v>
      </c>
      <c r="AT11" s="11">
        <v>3895</v>
      </c>
      <c r="AU11" s="11">
        <v>4013</v>
      </c>
      <c r="AV11"/>
      <c r="AW11"/>
      <c r="AX11"/>
      <c r="AY11"/>
      <c r="AZ11" s="5"/>
      <c r="BA11"/>
      <c r="BB11"/>
      <c r="BC11"/>
      <c r="BD11"/>
      <c r="BE11"/>
    </row>
    <row r="12" spans="1:64" s="2" customFormat="1" ht="57" x14ac:dyDescent="0.95">
      <c r="A12" s="50"/>
      <c r="B12" s="35" t="str">
        <f t="shared" si="0"/>
        <v>ྱ</v>
      </c>
      <c r="C12" s="35" t="str">
        <f t="shared" ref="C12" si="41">_xlfn.UNICHAR(AC12)</f>
        <v>ྲ</v>
      </c>
      <c r="D12" s="35" t="str">
        <f t="shared" ref="D12" si="42">_xlfn.UNICHAR(AD12)</f>
        <v>ཱ</v>
      </c>
      <c r="E12" s="35" t="str">
        <f t="shared" ref="E12" si="43">_xlfn.UNICHAR(AE12)</f>
        <v>ཱུ</v>
      </c>
      <c r="F12" s="35" t="str">
        <f t="shared" ref="F12" si="44">_xlfn.UNICHAR(AF12)</f>
        <v>ཱི</v>
      </c>
      <c r="G12" s="35" t="str">
        <f t="shared" ref="G12" si="45">_xlfn.UNICHAR(AG12)</f>
        <v>ྲྀ</v>
      </c>
      <c r="H12" s="35" t="str">
        <f t="shared" ref="H12" si="46">_xlfn.UNICHAR(AH12)</f>
        <v>ཷ</v>
      </c>
      <c r="I12" s="35" t="str">
        <f t="shared" ref="I12" si="47">_xlfn.UNICHAR(AI12)</f>
        <v>ླྀ</v>
      </c>
      <c r="J12" s="35" t="str">
        <f t="shared" ref="J12" si="48">_xlfn.UNICHAR(AJ12)</f>
        <v>ཹ</v>
      </c>
      <c r="K12" s="35" t="str">
        <f t="shared" ref="K12" si="49">_xlfn.UNICHAR(AK12)</f>
        <v>ཱྀ</v>
      </c>
      <c r="L12" s="35" t="str">
        <f t="shared" ref="L12:N12" si="50">_xlfn.UNICHAR(AL12)</f>
        <v>ྍ</v>
      </c>
      <c r="M12" s="35" t="str">
        <f t="shared" si="50"/>
        <v>ྎ</v>
      </c>
      <c r="N12" s="35" t="str">
        <f t="shared" si="50"/>
        <v>ྏ</v>
      </c>
      <c r="O12" s="42" t="str">
        <f t="shared" ref="O12" si="51">_xlfn.UNICHAR(AO12)</f>
        <v>ྒྷ</v>
      </c>
      <c r="P12" s="42" t="str">
        <f t="shared" ref="P12" si="52">_xlfn.UNICHAR(AP12)</f>
        <v>ྜྷ</v>
      </c>
      <c r="Q12" s="42" t="str">
        <f t="shared" ref="Q12" si="53">_xlfn.UNICHAR(AQ12)</f>
        <v>ྡྷ</v>
      </c>
      <c r="R12" s="42" t="str">
        <f t="shared" ref="R12" si="54">_xlfn.UNICHAR(AR12)</f>
        <v>ྦྷ</v>
      </c>
      <c r="S12" s="42" t="str">
        <f t="shared" ref="S12" si="55">_xlfn.UNICHAR(AS12)</f>
        <v>ྫྷ</v>
      </c>
      <c r="T12" s="42" t="str">
        <f t="shared" ref="T12" si="56">_xlfn.UNICHAR(AT12)</f>
        <v>ྐྵ</v>
      </c>
      <c r="U12" s="35"/>
      <c r="V12" s="3"/>
      <c r="W12" s="3"/>
      <c r="X12" s="3"/>
      <c r="Y12" s="3"/>
      <c r="Z12" s="3"/>
      <c r="AA12" s="3"/>
      <c r="AB12" s="11">
        <v>4017</v>
      </c>
      <c r="AC12" s="11">
        <v>4018</v>
      </c>
      <c r="AD12" s="11">
        <v>3953</v>
      </c>
      <c r="AE12" s="11">
        <v>3957</v>
      </c>
      <c r="AF12" s="11">
        <v>3955</v>
      </c>
      <c r="AG12" s="11">
        <v>3958</v>
      </c>
      <c r="AH12" s="11">
        <v>3959</v>
      </c>
      <c r="AI12" s="11">
        <v>3960</v>
      </c>
      <c r="AJ12" s="11">
        <v>3961</v>
      </c>
      <c r="AK12" s="11">
        <v>3969</v>
      </c>
      <c r="AL12" s="11">
        <v>3981</v>
      </c>
      <c r="AM12" s="11">
        <v>3982</v>
      </c>
      <c r="AN12" s="11">
        <v>3983</v>
      </c>
      <c r="AO12" s="11">
        <v>3987</v>
      </c>
      <c r="AP12" s="11">
        <v>3997</v>
      </c>
      <c r="AQ12" s="11">
        <v>4002</v>
      </c>
      <c r="AR12" s="11">
        <v>4007</v>
      </c>
      <c r="AS12" s="11">
        <v>4012</v>
      </c>
      <c r="AT12" s="11">
        <v>4025</v>
      </c>
      <c r="AU12" s="11"/>
      <c r="AV12"/>
      <c r="AW12"/>
      <c r="AX12"/>
      <c r="AY12"/>
      <c r="AZ12"/>
      <c r="BA12"/>
      <c r="BB12"/>
      <c r="BC12"/>
      <c r="BD12"/>
      <c r="BE12"/>
    </row>
    <row r="13" spans="1:64" s="2" customFormat="1" ht="57" x14ac:dyDescent="0.95">
      <c r="A13" s="7" t="s">
        <v>3</v>
      </c>
      <c r="B13" s="36" t="str">
        <f t="shared" si="0"/>
        <v>༹</v>
      </c>
      <c r="C13" s="36" t="str">
        <f t="shared" ref="C13" si="57">_xlfn.UNICHAR(AC13)</f>
        <v>ི</v>
      </c>
      <c r="D13" s="36" t="str">
        <f t="shared" ref="D13" si="58">_xlfn.UNICHAR(AD13)</f>
        <v>ེ</v>
      </c>
      <c r="E13" s="36" t="str">
        <f t="shared" ref="E13" si="59">_xlfn.UNICHAR(AE13)</f>
        <v>ཻ</v>
      </c>
      <c r="F13" s="36" t="str">
        <f t="shared" ref="F13" si="60">_xlfn.UNICHAR(AF13)</f>
        <v>ོ</v>
      </c>
      <c r="G13" s="36" t="str">
        <f t="shared" ref="G13" si="61">_xlfn.UNICHAR(AG13)</f>
        <v>ཽ</v>
      </c>
      <c r="H13" s="36" t="str">
        <f t="shared" ref="H13" si="62">_xlfn.UNICHAR(AH13)</f>
        <v>ཾ</v>
      </c>
      <c r="I13" s="36" t="str">
        <f t="shared" ref="I13" si="63">_xlfn.UNICHAR(AI13)</f>
        <v>ྀ</v>
      </c>
      <c r="J13" s="36" t="str">
        <f t="shared" ref="J13" si="64">_xlfn.UNICHAR(AJ13)</f>
        <v>ྂ</v>
      </c>
      <c r="K13" s="36" t="str">
        <f t="shared" ref="K13" si="65">_xlfn.UNICHAR(AK13)</f>
        <v>ྃ</v>
      </c>
      <c r="L13" s="36" t="str">
        <f t="shared" ref="L13" si="66">_xlfn.UNICHAR(AL13)</f>
        <v>྆</v>
      </c>
      <c r="M13" s="36" t="str">
        <f t="shared" ref="M13" si="67">_xlfn.UNICHAR(AM13)</f>
        <v>྇</v>
      </c>
      <c r="N13" s="36"/>
      <c r="O13" s="36"/>
      <c r="P13" s="36"/>
      <c r="Q13" s="36"/>
      <c r="R13" s="36"/>
      <c r="S13" s="36"/>
      <c r="T13" s="36"/>
      <c r="U13" s="36"/>
      <c r="V13" s="3"/>
      <c r="W13" s="3"/>
      <c r="X13" s="3"/>
      <c r="Y13" s="3"/>
      <c r="Z13" s="3"/>
      <c r="AA13" s="3"/>
      <c r="AB13" s="13">
        <v>3897</v>
      </c>
      <c r="AC13" s="14">
        <v>3954</v>
      </c>
      <c r="AD13" s="14">
        <v>3962</v>
      </c>
      <c r="AE13" s="14">
        <v>3963</v>
      </c>
      <c r="AF13" s="14">
        <v>3964</v>
      </c>
      <c r="AG13" s="14">
        <v>3965</v>
      </c>
      <c r="AH13" s="14">
        <v>3966</v>
      </c>
      <c r="AI13" s="14">
        <v>3968</v>
      </c>
      <c r="AJ13" s="14">
        <v>3970</v>
      </c>
      <c r="AK13" s="14">
        <v>3971</v>
      </c>
      <c r="AL13" s="14">
        <v>3974</v>
      </c>
      <c r="AM13" s="14">
        <v>3975</v>
      </c>
      <c r="AN13" s="14"/>
      <c r="AO13" s="14"/>
      <c r="AP13" s="14"/>
      <c r="AQ13" s="14"/>
      <c r="AR13" s="14"/>
      <c r="AS13" s="14"/>
      <c r="AT13" s="14"/>
      <c r="AU13" s="14"/>
      <c r="AV13"/>
      <c r="AW13"/>
      <c r="AX13">
        <v>20</v>
      </c>
      <c r="AY13">
        <v>8</v>
      </c>
      <c r="AZ13">
        <f>AX13-AY13</f>
        <v>12</v>
      </c>
      <c r="BA13"/>
      <c r="BB13"/>
      <c r="BC13"/>
      <c r="BD13"/>
      <c r="BE13"/>
    </row>
    <row r="14" spans="1:64" s="2" customFormat="1" ht="57" x14ac:dyDescent="0.95">
      <c r="A14" s="51" t="s">
        <v>2</v>
      </c>
      <c r="B14" s="37" t="str">
        <f t="shared" si="0"/>
        <v>ཿ</v>
      </c>
      <c r="C14" s="37" t="str">
        <f t="shared" ref="C14:C16" si="68">_xlfn.UNICHAR(AC14)</f>
        <v>࿒</v>
      </c>
      <c r="D14" s="37" t="str">
        <f t="shared" ref="D14:D16" si="69">_xlfn.UNICHAR(AD14)</f>
        <v>࿓</v>
      </c>
      <c r="E14" s="37" t="str">
        <f t="shared" ref="E14:E16" si="70">_xlfn.UNICHAR(AE14)</f>
        <v>࿔</v>
      </c>
      <c r="F14" s="37" t="str">
        <f t="shared" ref="F14:F16" si="71">_xlfn.UNICHAR(AF14)</f>
        <v>༄</v>
      </c>
      <c r="G14" s="37" t="str">
        <f t="shared" ref="G14:G16" si="72">_xlfn.UNICHAR(AG14)</f>
        <v>༅</v>
      </c>
      <c r="H14" s="38" t="str">
        <f t="shared" ref="H14:H16" si="73">_xlfn.UNICHAR(AH14)</f>
        <v>༆</v>
      </c>
      <c r="I14" s="38" t="str">
        <f t="shared" ref="I14:I16" si="74">_xlfn.UNICHAR(AI14)</f>
        <v>༇</v>
      </c>
      <c r="J14" s="37" t="str">
        <f t="shared" ref="J14:J16" si="75">_xlfn.UNICHAR(AJ14)</f>
        <v>༈</v>
      </c>
      <c r="K14" s="37" t="str">
        <f t="shared" ref="K14:K16" si="76">_xlfn.UNICHAR(AK14)</f>
        <v>༉</v>
      </c>
      <c r="L14" s="37" t="str">
        <f t="shared" ref="L14:L16" si="77">_xlfn.UNICHAR(AL14)</f>
        <v>༊</v>
      </c>
      <c r="M14" s="37" t="str">
        <f t="shared" ref="M14:M16" si="78">_xlfn.UNICHAR(AM14)</f>
        <v>་</v>
      </c>
      <c r="N14" s="37" t="str">
        <f t="shared" ref="N14:N16" si="79">_xlfn.UNICHAR(AN14)</f>
        <v>༌</v>
      </c>
      <c r="O14" s="38" t="str">
        <f t="shared" ref="O14:O16" si="80">_xlfn.UNICHAR(AO14)</f>
        <v>།</v>
      </c>
      <c r="P14" s="38" t="str">
        <f t="shared" ref="P14:P16" si="81">_xlfn.UNICHAR(AP14)</f>
        <v>༎</v>
      </c>
      <c r="Q14" s="38" t="str">
        <f t="shared" ref="Q14:Q16" si="82">_xlfn.UNICHAR(AQ14)</f>
        <v>༏</v>
      </c>
      <c r="R14" s="38" t="str">
        <f t="shared" ref="R14:R16" si="83">_xlfn.UNICHAR(AR14)</f>
        <v>༐</v>
      </c>
      <c r="S14" s="38" t="str">
        <f t="shared" ref="S14:S16" si="84">_xlfn.UNICHAR(AS14)</f>
        <v>༑</v>
      </c>
      <c r="T14" s="38" t="str">
        <f t="shared" ref="T14:T16" si="85">_xlfn.UNICHAR(AT14)</f>
        <v>༒</v>
      </c>
      <c r="U14" s="38" t="str">
        <f t="shared" ref="U14:U15" si="86">_xlfn.UNICHAR(AU14)</f>
        <v>༓</v>
      </c>
      <c r="V14" s="3"/>
      <c r="W14" s="3"/>
      <c r="X14" s="3"/>
      <c r="Y14" s="3"/>
      <c r="Z14" s="3"/>
      <c r="AA14" s="3"/>
      <c r="AB14" s="15">
        <v>3967</v>
      </c>
      <c r="AC14" s="15">
        <v>4050</v>
      </c>
      <c r="AD14" s="15">
        <v>4051</v>
      </c>
      <c r="AE14" s="15">
        <v>4052</v>
      </c>
      <c r="AF14" s="15">
        <v>3844</v>
      </c>
      <c r="AG14" s="15">
        <v>3845</v>
      </c>
      <c r="AH14" s="15">
        <v>3846</v>
      </c>
      <c r="AI14" s="15">
        <v>3847</v>
      </c>
      <c r="AJ14" s="15">
        <v>3848</v>
      </c>
      <c r="AK14" s="15">
        <v>3849</v>
      </c>
      <c r="AL14" s="15">
        <v>3850</v>
      </c>
      <c r="AM14" s="15">
        <v>3851</v>
      </c>
      <c r="AN14" s="15">
        <v>3852</v>
      </c>
      <c r="AO14" s="15">
        <v>3853</v>
      </c>
      <c r="AP14" s="15">
        <v>3854</v>
      </c>
      <c r="AQ14" s="15">
        <v>3855</v>
      </c>
      <c r="AR14" s="15">
        <v>3856</v>
      </c>
      <c r="AS14" s="15">
        <v>3857</v>
      </c>
      <c r="AT14" s="15">
        <v>3858</v>
      </c>
      <c r="AU14" s="15">
        <v>3859</v>
      </c>
      <c r="AV14"/>
      <c r="AW14"/>
      <c r="AX14">
        <v>60</v>
      </c>
      <c r="AY14">
        <v>1</v>
      </c>
      <c r="AZ14">
        <f>AX14-AY14</f>
        <v>59</v>
      </c>
      <c r="BA14"/>
      <c r="BB14"/>
      <c r="BC14"/>
      <c r="BD14"/>
      <c r="BE14"/>
    </row>
    <row r="15" spans="1:64" s="2" customFormat="1" ht="57" x14ac:dyDescent="0.95">
      <c r="A15" s="52"/>
      <c r="B15" s="37" t="str">
        <f t="shared" si="0"/>
        <v>༔</v>
      </c>
      <c r="C15" s="37" t="str">
        <f t="shared" si="68"/>
        <v>༕</v>
      </c>
      <c r="D15" s="37" t="str">
        <f t="shared" si="69"/>
        <v>༖</v>
      </c>
      <c r="E15" s="37" t="str">
        <f t="shared" si="70"/>
        <v>༗</v>
      </c>
      <c r="F15" s="38" t="str">
        <f t="shared" si="71"/>
        <v>༘</v>
      </c>
      <c r="G15" s="39" t="str">
        <f t="shared" si="72"/>
        <v>༙</v>
      </c>
      <c r="H15" s="37" t="str">
        <f t="shared" si="73"/>
        <v>༚</v>
      </c>
      <c r="I15" s="37" t="str">
        <f t="shared" si="74"/>
        <v>༛</v>
      </c>
      <c r="J15" s="37" t="str">
        <f t="shared" si="75"/>
        <v>༜</v>
      </c>
      <c r="K15" s="37" t="str">
        <f t="shared" si="76"/>
        <v>༝</v>
      </c>
      <c r="L15" s="37" t="str">
        <f t="shared" si="77"/>
        <v>༞</v>
      </c>
      <c r="M15" s="37" t="str">
        <f t="shared" si="78"/>
        <v>༟</v>
      </c>
      <c r="N15" s="37" t="str">
        <f t="shared" si="79"/>
        <v>༴</v>
      </c>
      <c r="O15" s="37" t="str">
        <f t="shared" si="80"/>
        <v>༶</v>
      </c>
      <c r="P15" s="40" t="str">
        <f t="shared" si="81"/>
        <v>༺</v>
      </c>
      <c r="Q15" s="40" t="str">
        <f t="shared" si="82"/>
        <v>༻</v>
      </c>
      <c r="R15" s="39" t="str">
        <f t="shared" si="83"/>
        <v>༼</v>
      </c>
      <c r="S15" s="39" t="str">
        <f t="shared" si="84"/>
        <v>༽</v>
      </c>
      <c r="T15" s="39" t="str">
        <f t="shared" si="85"/>
        <v>༾</v>
      </c>
      <c r="U15" s="39" t="str">
        <f t="shared" si="86"/>
        <v>༿</v>
      </c>
      <c r="V15" s="3"/>
      <c r="W15" s="3"/>
      <c r="X15" s="3"/>
      <c r="Y15" s="3"/>
      <c r="Z15" s="3"/>
      <c r="AA15" s="3"/>
      <c r="AB15" s="15">
        <v>3860</v>
      </c>
      <c r="AC15" s="15">
        <v>3861</v>
      </c>
      <c r="AD15" s="15">
        <v>3862</v>
      </c>
      <c r="AE15" s="15">
        <v>3863</v>
      </c>
      <c r="AF15" s="15">
        <v>3864</v>
      </c>
      <c r="AG15" s="15">
        <v>3865</v>
      </c>
      <c r="AH15" s="15">
        <v>3866</v>
      </c>
      <c r="AI15" s="15">
        <v>3867</v>
      </c>
      <c r="AJ15" s="15">
        <v>3868</v>
      </c>
      <c r="AK15" s="15">
        <v>3869</v>
      </c>
      <c r="AL15" s="15">
        <v>3870</v>
      </c>
      <c r="AM15" s="15">
        <v>3871</v>
      </c>
      <c r="AN15" s="15">
        <v>3892</v>
      </c>
      <c r="AO15" s="15">
        <v>3894</v>
      </c>
      <c r="AP15" s="15">
        <v>3898</v>
      </c>
      <c r="AQ15" s="15">
        <v>3899</v>
      </c>
      <c r="AR15" s="15">
        <v>3900</v>
      </c>
      <c r="AS15" s="15">
        <v>3901</v>
      </c>
      <c r="AT15" s="15">
        <v>3902</v>
      </c>
      <c r="AU15" s="15">
        <v>3903</v>
      </c>
      <c r="AV15"/>
      <c r="AW15"/>
      <c r="AX15"/>
      <c r="AY15"/>
      <c r="AZ15"/>
      <c r="BA15"/>
      <c r="BB15"/>
      <c r="BC15"/>
      <c r="BD15"/>
      <c r="BE15"/>
    </row>
    <row r="16" spans="1:64" s="2" customFormat="1" ht="57" x14ac:dyDescent="0.95">
      <c r="A16" s="52"/>
      <c r="B16" s="37" t="str">
        <f t="shared" si="0"/>
        <v>྾</v>
      </c>
      <c r="C16" s="37" t="str">
        <f t="shared" si="68"/>
        <v>྿</v>
      </c>
      <c r="D16" s="37" t="str">
        <f t="shared" si="69"/>
        <v>࿀</v>
      </c>
      <c r="E16" s="37" t="str">
        <f t="shared" si="70"/>
        <v>࿁</v>
      </c>
      <c r="F16" s="37" t="str">
        <f t="shared" si="71"/>
        <v>࿂</v>
      </c>
      <c r="G16" s="37" t="str">
        <f t="shared" si="72"/>
        <v>࿃</v>
      </c>
      <c r="H16" s="37" t="str">
        <f t="shared" si="73"/>
        <v>࿄</v>
      </c>
      <c r="I16" s="37" t="str">
        <f t="shared" si="74"/>
        <v>࿅</v>
      </c>
      <c r="J16" s="37" t="str">
        <f t="shared" si="75"/>
        <v>࿆</v>
      </c>
      <c r="K16" s="37" t="str">
        <f t="shared" si="76"/>
        <v>࿇</v>
      </c>
      <c r="L16" s="37" t="str">
        <f t="shared" si="77"/>
        <v>࿈</v>
      </c>
      <c r="M16" s="37" t="str">
        <f t="shared" si="78"/>
        <v>࿉</v>
      </c>
      <c r="N16" s="37" t="str">
        <f t="shared" si="79"/>
        <v>࿊</v>
      </c>
      <c r="O16" s="37" t="str">
        <f t="shared" si="80"/>
        <v>࿋</v>
      </c>
      <c r="P16" s="37" t="str">
        <f t="shared" si="81"/>
        <v>࿌</v>
      </c>
      <c r="Q16" s="37" t="str">
        <f t="shared" si="82"/>
        <v>࿎</v>
      </c>
      <c r="R16" s="37" t="str">
        <f t="shared" si="83"/>
        <v>࿏</v>
      </c>
      <c r="S16" s="38" t="str">
        <f t="shared" si="84"/>
        <v>࿙</v>
      </c>
      <c r="T16" s="38" t="str">
        <f t="shared" si="85"/>
        <v>࿚</v>
      </c>
      <c r="U16" s="37"/>
      <c r="V16" s="3"/>
      <c r="W16" s="3"/>
      <c r="X16" s="3"/>
      <c r="Y16" s="3"/>
      <c r="Z16" s="3"/>
      <c r="AA16" s="3"/>
      <c r="AB16" s="15">
        <v>4030</v>
      </c>
      <c r="AC16" s="15">
        <v>4031</v>
      </c>
      <c r="AD16" s="15">
        <v>4032</v>
      </c>
      <c r="AE16" s="15">
        <v>4033</v>
      </c>
      <c r="AF16" s="15">
        <v>4034</v>
      </c>
      <c r="AG16" s="15">
        <v>4035</v>
      </c>
      <c r="AH16" s="15">
        <v>4036</v>
      </c>
      <c r="AI16" s="15">
        <v>4037</v>
      </c>
      <c r="AJ16" s="15">
        <v>4038</v>
      </c>
      <c r="AK16" s="15">
        <v>4039</v>
      </c>
      <c r="AL16" s="15">
        <v>4040</v>
      </c>
      <c r="AM16" s="15">
        <v>4041</v>
      </c>
      <c r="AN16" s="15">
        <v>4042</v>
      </c>
      <c r="AO16" s="15">
        <v>4043</v>
      </c>
      <c r="AP16" s="15">
        <v>4044</v>
      </c>
      <c r="AQ16" s="15">
        <v>4046</v>
      </c>
      <c r="AR16" s="15">
        <v>4047</v>
      </c>
      <c r="AS16" s="15">
        <v>4057</v>
      </c>
      <c r="AT16" s="15">
        <v>4058</v>
      </c>
      <c r="AU16" s="15"/>
      <c r="AV16"/>
      <c r="AW16"/>
      <c r="AX16"/>
      <c r="AY16"/>
      <c r="AZ16"/>
      <c r="BA16"/>
      <c r="BB16"/>
      <c r="BC16"/>
      <c r="BD16"/>
      <c r="BE16"/>
    </row>
    <row r="17" spans="16:27" x14ac:dyDescent="0.3"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6:27" x14ac:dyDescent="0.3"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6:27" x14ac:dyDescent="0.3"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6:27" x14ac:dyDescent="0.3"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6:27" x14ac:dyDescent="0.3"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6:27" x14ac:dyDescent="0.3"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6:27" x14ac:dyDescent="0.3"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</sheetData>
  <sheetProtection algorithmName="SHA-512" hashValue="0WkuyYdlvNaqFHdx1JQgq9nwCfx5Bp4fhayjx79TAS4FrrSdtTRRVJaENhsKKUWTZRgsryzpWjnJ6BHVHFEVwg==" saltValue="3O2rOa0/zyhfURBxtFMIfw==" spinCount="100000" sheet="1" objects="1" selectLockedCells="1"/>
  <mergeCells count="15">
    <mergeCell ref="A6:A9"/>
    <mergeCell ref="A10:A12"/>
    <mergeCell ref="A14:A16"/>
    <mergeCell ref="X5:Z5"/>
    <mergeCell ref="A1:B1"/>
    <mergeCell ref="A5:B5"/>
    <mergeCell ref="A4:B4"/>
    <mergeCell ref="C1:U1"/>
    <mergeCell ref="C2:J2"/>
    <mergeCell ref="C3:J3"/>
    <mergeCell ref="L2:S2"/>
    <mergeCell ref="L3:S3"/>
    <mergeCell ref="L4:S4"/>
    <mergeCell ref="C5:F5"/>
    <mergeCell ref="C4:J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70115-E5B8-47A2-8833-AB82FF7392F3}">
  <sheetPr codeName="Sheet2"/>
  <dimension ref="A1:AJ23"/>
  <sheetViews>
    <sheetView showGridLines="0" zoomScale="75" zoomScaleNormal="75" workbookViewId="0">
      <pane ySplit="4" topLeftCell="A5" activePane="bottomLeft" state="frozen"/>
      <selection pane="bottomLeft" activeCell="N10" sqref="N10"/>
    </sheetView>
  </sheetViews>
  <sheetFormatPr defaultRowHeight="14.4" x14ac:dyDescent="0.3"/>
  <cols>
    <col min="1" max="2" width="5" customWidth="1"/>
    <col min="3" max="3" width="6.21875" customWidth="1"/>
    <col min="4" max="4" width="6" customWidth="1"/>
    <col min="5" max="6" width="6.109375" customWidth="1"/>
    <col min="7" max="7" width="6" customWidth="1"/>
    <col min="8" max="8" width="5" customWidth="1"/>
    <col min="9" max="9" width="6" customWidth="1"/>
    <col min="10" max="10" width="5" customWidth="1"/>
    <col min="11" max="13" width="6" customWidth="1"/>
    <col min="14" max="14" width="5" customWidth="1"/>
    <col min="15" max="15" width="6" customWidth="1"/>
    <col min="16" max="16" width="5" customWidth="1"/>
    <col min="17" max="17" width="6" customWidth="1"/>
    <col min="18" max="18" width="5.88671875" customWidth="1"/>
    <col min="19" max="19" width="6" customWidth="1"/>
    <col min="20" max="20" width="5.33203125" customWidth="1"/>
    <col min="21" max="21" width="6" customWidth="1"/>
    <col min="22" max="22" width="5" customWidth="1"/>
    <col min="23" max="23" width="6" customWidth="1"/>
    <col min="24" max="24" width="5" customWidth="1"/>
    <col min="25" max="27" width="6" customWidth="1"/>
    <col min="28" max="28" width="5.5546875" customWidth="1"/>
    <col min="29" max="29" width="6" customWidth="1"/>
    <col min="30" max="30" width="5" customWidth="1"/>
    <col min="31" max="31" width="6" customWidth="1"/>
    <col min="32" max="32" width="5" customWidth="1"/>
    <col min="33" max="33" width="6" customWidth="1"/>
    <col min="34" max="34" width="5" customWidth="1"/>
    <col min="41" max="41" width="13.88671875" bestFit="1" customWidth="1"/>
  </cols>
  <sheetData>
    <row r="1" spans="1:36" s="17" customFormat="1" ht="25.8" x14ac:dyDescent="0.5">
      <c r="A1" s="16" t="s">
        <v>7</v>
      </c>
    </row>
    <row r="2" spans="1:36" s="17" customFormat="1" x14ac:dyDescent="0.3"/>
    <row r="3" spans="1:36" x14ac:dyDescent="0.3">
      <c r="D3" s="18" t="s">
        <v>8</v>
      </c>
      <c r="K3" s="18" t="s">
        <v>9</v>
      </c>
      <c r="R3" s="18" t="s">
        <v>10</v>
      </c>
      <c r="Y3" s="18" t="s">
        <v>11</v>
      </c>
    </row>
    <row r="4" spans="1:36" ht="34.200000000000003" x14ac:dyDescent="0.3">
      <c r="D4" s="19">
        <v>3907</v>
      </c>
      <c r="E4" s="20"/>
      <c r="F4" s="20"/>
      <c r="G4" s="20"/>
      <c r="H4" s="21" t="str">
        <f>_xlfn.UNICHAR(D4)</f>
        <v>གྷ</v>
      </c>
      <c r="J4" s="22"/>
      <c r="K4" s="19">
        <v>3904</v>
      </c>
      <c r="L4" s="19">
        <v>3957</v>
      </c>
      <c r="M4" s="20"/>
      <c r="N4" s="20"/>
      <c r="O4" s="21" t="str">
        <f>_xlfn.UNICHAR(K4)&amp;_xlfn.UNICHAR(L4)</f>
        <v>ཀཱུ</v>
      </c>
      <c r="Q4" s="22"/>
      <c r="R4" s="19">
        <v>3921</v>
      </c>
      <c r="S4" s="19">
        <v>3985</v>
      </c>
      <c r="T4" s="19">
        <v>3954</v>
      </c>
      <c r="U4" s="20"/>
      <c r="V4" s="21" t="str">
        <f>_xlfn.UNICHAR(R4)&amp;_xlfn.UNICHAR(S4)&amp;_xlfn.UNICHAR(T4)</f>
        <v>དྑི</v>
      </c>
      <c r="X4" s="22"/>
      <c r="Y4" s="19">
        <v>3927</v>
      </c>
      <c r="Z4" s="19">
        <v>4018</v>
      </c>
      <c r="AA4" s="19">
        <v>3957</v>
      </c>
      <c r="AB4" s="19">
        <v>3971</v>
      </c>
      <c r="AC4" s="21" t="str">
        <f>_xlfn.UNICHAR(Y4)&amp;_xlfn.UNICHAR(Z4)&amp;_xlfn.UNICHAR(AA4)&amp;_xlfn.UNICHAR(AB4)</f>
        <v>བྷྲཱུྃ</v>
      </c>
      <c r="AE4" s="23"/>
      <c r="AF4" s="23"/>
      <c r="AG4" s="23"/>
      <c r="AH4" s="23"/>
      <c r="AI4" s="23"/>
      <c r="AJ4" s="24"/>
    </row>
    <row r="5" spans="1:36" x14ac:dyDescent="0.3">
      <c r="C5" s="25" t="s">
        <v>12</v>
      </c>
    </row>
    <row r="6" spans="1:36" x14ac:dyDescent="0.3">
      <c r="A6" s="26"/>
      <c r="B6" s="26"/>
      <c r="C6" t="s">
        <v>13</v>
      </c>
      <c r="D6" t="s">
        <v>14</v>
      </c>
    </row>
    <row r="7" spans="1:36" x14ac:dyDescent="0.3">
      <c r="A7" s="26"/>
      <c r="B7" s="26"/>
      <c r="C7">
        <v>0</v>
      </c>
      <c r="E7">
        <v>1</v>
      </c>
      <c r="G7">
        <v>2</v>
      </c>
      <c r="I7">
        <v>3</v>
      </c>
      <c r="K7">
        <v>4</v>
      </c>
      <c r="M7">
        <v>5</v>
      </c>
      <c r="O7">
        <v>6</v>
      </c>
      <c r="Q7">
        <v>7</v>
      </c>
      <c r="S7">
        <v>8</v>
      </c>
      <c r="U7">
        <v>9</v>
      </c>
      <c r="W7" t="s">
        <v>15</v>
      </c>
      <c r="Y7" t="s">
        <v>16</v>
      </c>
      <c r="AA7" t="s">
        <v>17</v>
      </c>
      <c r="AC7" t="s">
        <v>18</v>
      </c>
      <c r="AE7" t="s">
        <v>19</v>
      </c>
      <c r="AG7" t="s">
        <v>20</v>
      </c>
    </row>
    <row r="8" spans="1:36" s="22" customFormat="1" ht="42.6" customHeight="1" x14ac:dyDescent="0.3">
      <c r="A8" s="22" t="s">
        <v>21</v>
      </c>
      <c r="B8" s="27">
        <v>0</v>
      </c>
      <c r="C8" s="28">
        <f t="shared" ref="C8:C23" si="0">HEX2DEC($A8&amp;C$7)</f>
        <v>3840</v>
      </c>
      <c r="D8" s="29" t="str">
        <f t="shared" ref="D8:D23" si="1">_xlfn.UNICHAR(C8)</f>
        <v>ༀ</v>
      </c>
      <c r="E8" s="28">
        <f t="shared" ref="E8:E23" si="2">HEX2DEC($A8&amp;E$7)</f>
        <v>3841</v>
      </c>
      <c r="F8" s="29" t="str">
        <f t="shared" ref="F8:F23" si="3">_xlfn.UNICHAR(E8)</f>
        <v>༁</v>
      </c>
      <c r="G8" s="30">
        <f t="shared" ref="G8:G23" si="4">HEX2DEC($A8&amp;G$7)</f>
        <v>3842</v>
      </c>
      <c r="H8" s="31" t="str">
        <f t="shared" ref="H8:H23" si="5">_xlfn.UNICHAR(G8)</f>
        <v>༂</v>
      </c>
      <c r="I8" s="30">
        <f t="shared" ref="I8:I23" si="6">HEX2DEC($A8&amp;I$7)</f>
        <v>3843</v>
      </c>
      <c r="J8" s="31" t="str">
        <f t="shared" ref="J8:J23" si="7">_xlfn.UNICHAR(I8)</f>
        <v>༃</v>
      </c>
      <c r="K8" s="30">
        <f t="shared" ref="K8:K23" si="8">HEX2DEC($A8&amp;K$7)</f>
        <v>3844</v>
      </c>
      <c r="L8" s="31" t="str">
        <f t="shared" ref="L8:L23" si="9">_xlfn.UNICHAR(K8)</f>
        <v>༄</v>
      </c>
      <c r="M8" s="30">
        <f t="shared" ref="M8:M23" si="10">HEX2DEC($A8&amp;M$7)</f>
        <v>3845</v>
      </c>
      <c r="N8" s="31" t="str">
        <f t="shared" ref="N8:N23" si="11">_xlfn.UNICHAR(M8)</f>
        <v>༅</v>
      </c>
      <c r="O8" s="30">
        <f t="shared" ref="O8:O23" si="12">HEX2DEC($A8&amp;O$7)</f>
        <v>3846</v>
      </c>
      <c r="P8" s="31" t="str">
        <f t="shared" ref="P8:P23" si="13">_xlfn.UNICHAR(O8)</f>
        <v>༆</v>
      </c>
      <c r="Q8" s="30">
        <f t="shared" ref="Q8:Q23" si="14">HEX2DEC($A8&amp;Q$7)</f>
        <v>3847</v>
      </c>
      <c r="R8" s="31" t="str">
        <f t="shared" ref="R8:R23" si="15">_xlfn.UNICHAR(Q8)</f>
        <v>༇</v>
      </c>
      <c r="S8" s="30">
        <f t="shared" ref="S8:S23" si="16">HEX2DEC($A8&amp;S$7)</f>
        <v>3848</v>
      </c>
      <c r="T8" s="31" t="str">
        <f t="shared" ref="T8:T23" si="17">_xlfn.UNICHAR(S8)</f>
        <v>༈</v>
      </c>
      <c r="U8" s="30">
        <f t="shared" ref="U8:U23" si="18">HEX2DEC($A8&amp;U$7)</f>
        <v>3849</v>
      </c>
      <c r="V8" s="31" t="str">
        <f t="shared" ref="V8:V23" si="19">_xlfn.UNICHAR(U8)</f>
        <v>༉</v>
      </c>
      <c r="W8" s="30">
        <f t="shared" ref="W8:W23" si="20">HEX2DEC($A8&amp;W$7)</f>
        <v>3850</v>
      </c>
      <c r="X8" s="31" t="str">
        <f t="shared" ref="X8:X23" si="21">_xlfn.UNICHAR(W8)</f>
        <v>༊</v>
      </c>
      <c r="Y8" s="30">
        <f t="shared" ref="Y8:Y23" si="22">HEX2DEC($A8&amp;Y$7)</f>
        <v>3851</v>
      </c>
      <c r="Z8" s="31" t="str">
        <f t="shared" ref="Z8:Z23" si="23">_xlfn.UNICHAR(Y8)</f>
        <v>་</v>
      </c>
      <c r="AA8" s="30">
        <f t="shared" ref="AA8:AA23" si="24">HEX2DEC($A8&amp;AA$7)</f>
        <v>3852</v>
      </c>
      <c r="AB8" s="31" t="str">
        <f t="shared" ref="AB8:AB23" si="25">_xlfn.UNICHAR(AA8)</f>
        <v>༌</v>
      </c>
      <c r="AC8" s="30">
        <f t="shared" ref="AC8:AC23" si="26">HEX2DEC($A8&amp;AC$7)</f>
        <v>3853</v>
      </c>
      <c r="AD8" s="31" t="str">
        <f t="shared" ref="AD8:AD23" si="27">_xlfn.UNICHAR(AC8)</f>
        <v>།</v>
      </c>
      <c r="AE8" s="30">
        <f t="shared" ref="AE8:AE23" si="28">HEX2DEC($A8&amp;AE$7)</f>
        <v>3854</v>
      </c>
      <c r="AF8" s="31" t="str">
        <f t="shared" ref="AF8:AF23" si="29">_xlfn.UNICHAR(AE8)</f>
        <v>༎</v>
      </c>
      <c r="AG8" s="30">
        <f t="shared" ref="AG8:AG23" si="30">HEX2DEC($A8&amp;AG$7)</f>
        <v>3855</v>
      </c>
      <c r="AH8" s="31" t="str">
        <f t="shared" ref="AH8:AH23" si="31">_xlfn.UNICHAR(AG8)</f>
        <v>༏</v>
      </c>
    </row>
    <row r="9" spans="1:36" s="22" customFormat="1" ht="42.6" customHeight="1" x14ac:dyDescent="0.3">
      <c r="A9" s="22" t="s">
        <v>22</v>
      </c>
      <c r="B9" s="27">
        <v>1</v>
      </c>
      <c r="C9" s="30">
        <f t="shared" si="0"/>
        <v>3856</v>
      </c>
      <c r="D9" s="31" t="str">
        <f t="shared" si="1"/>
        <v>༐</v>
      </c>
      <c r="E9" s="30">
        <f t="shared" si="2"/>
        <v>3857</v>
      </c>
      <c r="F9" s="31" t="str">
        <f t="shared" si="3"/>
        <v>༑</v>
      </c>
      <c r="G9" s="30">
        <f t="shared" si="4"/>
        <v>3858</v>
      </c>
      <c r="H9" s="31" t="str">
        <f t="shared" si="5"/>
        <v>༒</v>
      </c>
      <c r="I9" s="30">
        <f t="shared" si="6"/>
        <v>3859</v>
      </c>
      <c r="J9" s="31" t="str">
        <f t="shared" si="7"/>
        <v>༓</v>
      </c>
      <c r="K9" s="30">
        <f t="shared" si="8"/>
        <v>3860</v>
      </c>
      <c r="L9" s="31" t="str">
        <f t="shared" si="9"/>
        <v>༔</v>
      </c>
      <c r="M9" s="30">
        <f t="shared" si="10"/>
        <v>3861</v>
      </c>
      <c r="N9" s="31" t="str">
        <f t="shared" si="11"/>
        <v>༕</v>
      </c>
      <c r="O9" s="30">
        <f t="shared" si="12"/>
        <v>3862</v>
      </c>
      <c r="P9" s="31" t="str">
        <f t="shared" si="13"/>
        <v>༖</v>
      </c>
      <c r="Q9" s="30">
        <f t="shared" si="14"/>
        <v>3863</v>
      </c>
      <c r="R9" s="31" t="str">
        <f t="shared" si="15"/>
        <v>༗</v>
      </c>
      <c r="S9" s="30">
        <f t="shared" si="16"/>
        <v>3864</v>
      </c>
      <c r="T9" s="31" t="str">
        <f t="shared" si="17"/>
        <v>༘</v>
      </c>
      <c r="U9" s="30">
        <f t="shared" si="18"/>
        <v>3865</v>
      </c>
      <c r="V9" s="31" t="str">
        <f t="shared" si="19"/>
        <v>༙</v>
      </c>
      <c r="W9" s="30">
        <f t="shared" si="20"/>
        <v>3866</v>
      </c>
      <c r="X9" s="31" t="str">
        <f t="shared" si="21"/>
        <v>༚</v>
      </c>
      <c r="Y9" s="30">
        <f t="shared" si="22"/>
        <v>3867</v>
      </c>
      <c r="Z9" s="31" t="str">
        <f t="shared" si="23"/>
        <v>༛</v>
      </c>
      <c r="AA9" s="30">
        <f t="shared" si="24"/>
        <v>3868</v>
      </c>
      <c r="AB9" s="31" t="str">
        <f t="shared" si="25"/>
        <v>༜</v>
      </c>
      <c r="AC9" s="30">
        <f t="shared" si="26"/>
        <v>3869</v>
      </c>
      <c r="AD9" s="31" t="str">
        <f t="shared" si="27"/>
        <v>༝</v>
      </c>
      <c r="AE9" s="30">
        <f t="shared" si="28"/>
        <v>3870</v>
      </c>
      <c r="AF9" s="31" t="str">
        <f t="shared" si="29"/>
        <v>༞</v>
      </c>
      <c r="AG9" s="30">
        <f t="shared" si="30"/>
        <v>3871</v>
      </c>
      <c r="AH9" s="31" t="str">
        <f t="shared" si="31"/>
        <v>༟</v>
      </c>
    </row>
    <row r="10" spans="1:36" s="22" customFormat="1" ht="42.6" customHeight="1" x14ac:dyDescent="0.3">
      <c r="A10" s="22" t="s">
        <v>23</v>
      </c>
      <c r="B10" s="27">
        <v>2</v>
      </c>
      <c r="C10" s="30">
        <f t="shared" si="0"/>
        <v>3872</v>
      </c>
      <c r="D10" s="31" t="str">
        <f t="shared" si="1"/>
        <v>༠</v>
      </c>
      <c r="E10" s="30">
        <f t="shared" si="2"/>
        <v>3873</v>
      </c>
      <c r="F10" s="31" t="str">
        <f t="shared" si="3"/>
        <v>༡</v>
      </c>
      <c r="G10" s="30">
        <f t="shared" si="4"/>
        <v>3874</v>
      </c>
      <c r="H10" s="31" t="str">
        <f t="shared" si="5"/>
        <v>༢</v>
      </c>
      <c r="I10" s="30">
        <f t="shared" si="6"/>
        <v>3875</v>
      </c>
      <c r="J10" s="31" t="str">
        <f t="shared" si="7"/>
        <v>༣</v>
      </c>
      <c r="K10" s="30">
        <f t="shared" si="8"/>
        <v>3876</v>
      </c>
      <c r="L10" s="31" t="str">
        <f t="shared" si="9"/>
        <v>༤</v>
      </c>
      <c r="M10" s="30">
        <f t="shared" si="10"/>
        <v>3877</v>
      </c>
      <c r="N10" s="31" t="str">
        <f t="shared" si="11"/>
        <v>༥</v>
      </c>
      <c r="O10" s="30">
        <f t="shared" si="12"/>
        <v>3878</v>
      </c>
      <c r="P10" s="31" t="str">
        <f t="shared" si="13"/>
        <v>༦</v>
      </c>
      <c r="Q10" s="30">
        <f t="shared" si="14"/>
        <v>3879</v>
      </c>
      <c r="R10" s="31" t="str">
        <f t="shared" si="15"/>
        <v>༧</v>
      </c>
      <c r="S10" s="30">
        <f t="shared" si="16"/>
        <v>3880</v>
      </c>
      <c r="T10" s="31" t="str">
        <f t="shared" si="17"/>
        <v>༨</v>
      </c>
      <c r="U10" s="30">
        <f t="shared" si="18"/>
        <v>3881</v>
      </c>
      <c r="V10" s="31" t="str">
        <f t="shared" si="19"/>
        <v>༩</v>
      </c>
      <c r="W10" s="30">
        <f t="shared" si="20"/>
        <v>3882</v>
      </c>
      <c r="X10" s="31" t="str">
        <f t="shared" si="21"/>
        <v>༪</v>
      </c>
      <c r="Y10" s="30">
        <f t="shared" si="22"/>
        <v>3883</v>
      </c>
      <c r="Z10" s="31" t="str">
        <f t="shared" si="23"/>
        <v>༫</v>
      </c>
      <c r="AA10" s="30">
        <f t="shared" si="24"/>
        <v>3884</v>
      </c>
      <c r="AB10" s="31" t="str">
        <f t="shared" si="25"/>
        <v>༬</v>
      </c>
      <c r="AC10" s="30">
        <f t="shared" si="26"/>
        <v>3885</v>
      </c>
      <c r="AD10" s="31" t="str">
        <f t="shared" si="27"/>
        <v>༭</v>
      </c>
      <c r="AE10" s="30">
        <f t="shared" si="28"/>
        <v>3886</v>
      </c>
      <c r="AF10" s="31" t="str">
        <f t="shared" si="29"/>
        <v>༮</v>
      </c>
      <c r="AG10" s="30">
        <f t="shared" si="30"/>
        <v>3887</v>
      </c>
      <c r="AH10" s="31" t="str">
        <f t="shared" si="31"/>
        <v>༯</v>
      </c>
    </row>
    <row r="11" spans="1:36" s="22" customFormat="1" ht="42.6" customHeight="1" x14ac:dyDescent="0.3">
      <c r="A11" s="22" t="s">
        <v>24</v>
      </c>
      <c r="B11" s="27">
        <v>3</v>
      </c>
      <c r="C11" s="30">
        <f t="shared" si="0"/>
        <v>3888</v>
      </c>
      <c r="D11" s="31" t="str">
        <f t="shared" si="1"/>
        <v>༰</v>
      </c>
      <c r="E11" s="30">
        <f t="shared" si="2"/>
        <v>3889</v>
      </c>
      <c r="F11" s="31" t="str">
        <f t="shared" si="3"/>
        <v>༱</v>
      </c>
      <c r="G11" s="30">
        <f t="shared" si="4"/>
        <v>3890</v>
      </c>
      <c r="H11" s="31" t="str">
        <f t="shared" si="5"/>
        <v>༲</v>
      </c>
      <c r="I11" s="30">
        <f t="shared" si="6"/>
        <v>3891</v>
      </c>
      <c r="J11" s="31" t="str">
        <f t="shared" si="7"/>
        <v>༳</v>
      </c>
      <c r="K11" s="30">
        <f t="shared" si="8"/>
        <v>3892</v>
      </c>
      <c r="L11" s="31" t="str">
        <f t="shared" si="9"/>
        <v>༴</v>
      </c>
      <c r="M11" s="30">
        <f t="shared" si="10"/>
        <v>3893</v>
      </c>
      <c r="N11" s="31" t="str">
        <f t="shared" si="11"/>
        <v>༵</v>
      </c>
      <c r="O11" s="30">
        <f t="shared" si="12"/>
        <v>3894</v>
      </c>
      <c r="P11" s="31" t="str">
        <f t="shared" si="13"/>
        <v>༶</v>
      </c>
      <c r="Q11" s="30">
        <f t="shared" si="14"/>
        <v>3895</v>
      </c>
      <c r="R11" s="31" t="str">
        <f t="shared" si="15"/>
        <v>༷</v>
      </c>
      <c r="S11" s="30">
        <f t="shared" si="16"/>
        <v>3896</v>
      </c>
      <c r="T11" s="31" t="str">
        <f t="shared" si="17"/>
        <v>༸</v>
      </c>
      <c r="U11" s="30">
        <f t="shared" si="18"/>
        <v>3897</v>
      </c>
      <c r="V11" s="31" t="str">
        <f t="shared" si="19"/>
        <v>༹</v>
      </c>
      <c r="W11" s="30">
        <f t="shared" si="20"/>
        <v>3898</v>
      </c>
      <c r="X11" s="31" t="str">
        <f t="shared" si="21"/>
        <v>༺</v>
      </c>
      <c r="Y11" s="30">
        <f t="shared" si="22"/>
        <v>3899</v>
      </c>
      <c r="Z11" s="31" t="str">
        <f t="shared" si="23"/>
        <v>༻</v>
      </c>
      <c r="AA11" s="30">
        <f t="shared" si="24"/>
        <v>3900</v>
      </c>
      <c r="AB11" s="31" t="str">
        <f t="shared" si="25"/>
        <v>༼</v>
      </c>
      <c r="AC11" s="30">
        <f t="shared" si="26"/>
        <v>3901</v>
      </c>
      <c r="AD11" s="31" t="str">
        <f t="shared" si="27"/>
        <v>༽</v>
      </c>
      <c r="AE11" s="30">
        <f t="shared" si="28"/>
        <v>3902</v>
      </c>
      <c r="AF11" s="31" t="str">
        <f t="shared" si="29"/>
        <v>༾</v>
      </c>
      <c r="AG11" s="30">
        <f t="shared" si="30"/>
        <v>3903</v>
      </c>
      <c r="AH11" s="31" t="str">
        <f t="shared" si="31"/>
        <v>༿</v>
      </c>
    </row>
    <row r="12" spans="1:36" s="22" customFormat="1" ht="42.6" customHeight="1" x14ac:dyDescent="0.3">
      <c r="A12" s="22" t="s">
        <v>25</v>
      </c>
      <c r="B12" s="27">
        <v>4</v>
      </c>
      <c r="C12" s="28">
        <f t="shared" si="0"/>
        <v>3904</v>
      </c>
      <c r="D12" s="29" t="str">
        <f t="shared" si="1"/>
        <v>ཀ</v>
      </c>
      <c r="E12" s="28">
        <f t="shared" si="2"/>
        <v>3905</v>
      </c>
      <c r="F12" s="29" t="str">
        <f t="shared" si="3"/>
        <v>ཁ</v>
      </c>
      <c r="G12" s="28">
        <f t="shared" si="4"/>
        <v>3906</v>
      </c>
      <c r="H12" s="29" t="str">
        <f t="shared" si="5"/>
        <v>ག</v>
      </c>
      <c r="I12" s="28">
        <f t="shared" si="6"/>
        <v>3907</v>
      </c>
      <c r="J12" s="29" t="str">
        <f t="shared" si="7"/>
        <v>གྷ</v>
      </c>
      <c r="K12" s="28">
        <f t="shared" si="8"/>
        <v>3908</v>
      </c>
      <c r="L12" s="29" t="str">
        <f t="shared" si="9"/>
        <v>ང</v>
      </c>
      <c r="M12" s="28">
        <f t="shared" si="10"/>
        <v>3909</v>
      </c>
      <c r="N12" s="29" t="str">
        <f t="shared" si="11"/>
        <v>ཅ</v>
      </c>
      <c r="O12" s="28">
        <f t="shared" si="12"/>
        <v>3910</v>
      </c>
      <c r="P12" s="29" t="str">
        <f t="shared" si="13"/>
        <v>ཆ</v>
      </c>
      <c r="Q12" s="28">
        <f t="shared" si="14"/>
        <v>3911</v>
      </c>
      <c r="R12" s="29" t="str">
        <f t="shared" si="15"/>
        <v>ཇ</v>
      </c>
      <c r="S12" s="28">
        <f t="shared" si="16"/>
        <v>3912</v>
      </c>
      <c r="T12" s="29" t="str">
        <f t="shared" si="17"/>
        <v>཈</v>
      </c>
      <c r="U12" s="28">
        <f t="shared" si="18"/>
        <v>3913</v>
      </c>
      <c r="V12" s="29" t="str">
        <f t="shared" si="19"/>
        <v>ཉ</v>
      </c>
      <c r="W12" s="28">
        <f t="shared" si="20"/>
        <v>3914</v>
      </c>
      <c r="X12" s="29" t="str">
        <f t="shared" si="21"/>
        <v>ཊ</v>
      </c>
      <c r="Y12" s="28">
        <f t="shared" si="22"/>
        <v>3915</v>
      </c>
      <c r="Z12" s="29" t="str">
        <f t="shared" si="23"/>
        <v>ཋ</v>
      </c>
      <c r="AA12" s="28">
        <f t="shared" si="24"/>
        <v>3916</v>
      </c>
      <c r="AB12" s="29" t="str">
        <f t="shared" si="25"/>
        <v>ཌ</v>
      </c>
      <c r="AC12" s="28">
        <f t="shared" si="26"/>
        <v>3917</v>
      </c>
      <c r="AD12" s="29" t="str">
        <f t="shared" si="27"/>
        <v>ཌྷ</v>
      </c>
      <c r="AE12" s="28">
        <f t="shared" si="28"/>
        <v>3918</v>
      </c>
      <c r="AF12" s="29" t="str">
        <f t="shared" si="29"/>
        <v>ཎ</v>
      </c>
      <c r="AG12" s="28">
        <f t="shared" si="30"/>
        <v>3919</v>
      </c>
      <c r="AH12" s="29" t="str">
        <f t="shared" si="31"/>
        <v>ཏ</v>
      </c>
    </row>
    <row r="13" spans="1:36" s="22" customFormat="1" ht="42.6" customHeight="1" x14ac:dyDescent="0.3">
      <c r="A13" s="22" t="s">
        <v>26</v>
      </c>
      <c r="B13" s="27">
        <v>5</v>
      </c>
      <c r="C13" s="28">
        <f t="shared" si="0"/>
        <v>3920</v>
      </c>
      <c r="D13" s="29" t="str">
        <f t="shared" si="1"/>
        <v>ཐ</v>
      </c>
      <c r="E13" s="28">
        <f t="shared" si="2"/>
        <v>3921</v>
      </c>
      <c r="F13" s="29" t="str">
        <f t="shared" si="3"/>
        <v>ད</v>
      </c>
      <c r="G13" s="28">
        <f t="shared" si="4"/>
        <v>3922</v>
      </c>
      <c r="H13" s="29" t="str">
        <f t="shared" si="5"/>
        <v>དྷ</v>
      </c>
      <c r="I13" s="28">
        <f t="shared" si="6"/>
        <v>3923</v>
      </c>
      <c r="J13" s="29" t="str">
        <f t="shared" si="7"/>
        <v>ན</v>
      </c>
      <c r="K13" s="28">
        <f t="shared" si="8"/>
        <v>3924</v>
      </c>
      <c r="L13" s="29" t="str">
        <f t="shared" si="9"/>
        <v>པ</v>
      </c>
      <c r="M13" s="28">
        <f t="shared" si="10"/>
        <v>3925</v>
      </c>
      <c r="N13" s="29" t="str">
        <f t="shared" si="11"/>
        <v>ཕ</v>
      </c>
      <c r="O13" s="28">
        <f t="shared" si="12"/>
        <v>3926</v>
      </c>
      <c r="P13" s="29" t="str">
        <f t="shared" si="13"/>
        <v>བ</v>
      </c>
      <c r="Q13" s="28">
        <f t="shared" si="14"/>
        <v>3927</v>
      </c>
      <c r="R13" s="29" t="str">
        <f t="shared" si="15"/>
        <v>བྷ</v>
      </c>
      <c r="S13" s="28">
        <f t="shared" si="16"/>
        <v>3928</v>
      </c>
      <c r="T13" s="29" t="str">
        <f t="shared" si="17"/>
        <v>མ</v>
      </c>
      <c r="U13" s="28">
        <f t="shared" si="18"/>
        <v>3929</v>
      </c>
      <c r="V13" s="29" t="str">
        <f t="shared" si="19"/>
        <v>ཙ</v>
      </c>
      <c r="W13" s="28">
        <f t="shared" si="20"/>
        <v>3930</v>
      </c>
      <c r="X13" s="29" t="str">
        <f t="shared" si="21"/>
        <v>ཚ</v>
      </c>
      <c r="Y13" s="28">
        <f t="shared" si="22"/>
        <v>3931</v>
      </c>
      <c r="Z13" s="29" t="str">
        <f t="shared" si="23"/>
        <v>ཛ</v>
      </c>
      <c r="AA13" s="28">
        <f t="shared" si="24"/>
        <v>3932</v>
      </c>
      <c r="AB13" s="29" t="str">
        <f t="shared" si="25"/>
        <v>ཛྷ</v>
      </c>
      <c r="AC13" s="28">
        <f t="shared" si="26"/>
        <v>3933</v>
      </c>
      <c r="AD13" s="29" t="str">
        <f t="shared" si="27"/>
        <v>ཝ</v>
      </c>
      <c r="AE13" s="28">
        <f t="shared" si="28"/>
        <v>3934</v>
      </c>
      <c r="AF13" s="29" t="str">
        <f t="shared" si="29"/>
        <v>ཞ</v>
      </c>
      <c r="AG13" s="28">
        <f t="shared" si="30"/>
        <v>3935</v>
      </c>
      <c r="AH13" s="29" t="str">
        <f t="shared" si="31"/>
        <v>ཟ</v>
      </c>
    </row>
    <row r="14" spans="1:36" s="22" customFormat="1" ht="42.6" customHeight="1" x14ac:dyDescent="0.3">
      <c r="A14" s="22" t="s">
        <v>27</v>
      </c>
      <c r="B14" s="27">
        <v>6</v>
      </c>
      <c r="C14" s="28">
        <f t="shared" si="0"/>
        <v>3936</v>
      </c>
      <c r="D14" s="29" t="str">
        <f t="shared" si="1"/>
        <v>འ</v>
      </c>
      <c r="E14" s="28">
        <f t="shared" si="2"/>
        <v>3937</v>
      </c>
      <c r="F14" s="29" t="str">
        <f t="shared" si="3"/>
        <v>ཡ</v>
      </c>
      <c r="G14" s="28">
        <f t="shared" si="4"/>
        <v>3938</v>
      </c>
      <c r="H14" s="29" t="str">
        <f t="shared" si="5"/>
        <v>ར</v>
      </c>
      <c r="I14" s="28">
        <f t="shared" si="6"/>
        <v>3939</v>
      </c>
      <c r="J14" s="29" t="str">
        <f t="shared" si="7"/>
        <v>ལ</v>
      </c>
      <c r="K14" s="28">
        <f t="shared" si="8"/>
        <v>3940</v>
      </c>
      <c r="L14" s="29" t="str">
        <f t="shared" si="9"/>
        <v>ཤ</v>
      </c>
      <c r="M14" s="28">
        <f t="shared" si="10"/>
        <v>3941</v>
      </c>
      <c r="N14" s="29" t="str">
        <f t="shared" si="11"/>
        <v>ཥ</v>
      </c>
      <c r="O14" s="28">
        <f t="shared" si="12"/>
        <v>3942</v>
      </c>
      <c r="P14" s="29" t="str">
        <f t="shared" si="13"/>
        <v>ས</v>
      </c>
      <c r="Q14" s="28">
        <f t="shared" si="14"/>
        <v>3943</v>
      </c>
      <c r="R14" s="29" t="str">
        <f t="shared" si="15"/>
        <v>ཧ</v>
      </c>
      <c r="S14" s="28">
        <f t="shared" si="16"/>
        <v>3944</v>
      </c>
      <c r="T14" s="29" t="str">
        <f t="shared" si="17"/>
        <v>ཨ</v>
      </c>
      <c r="U14" s="28">
        <f t="shared" si="18"/>
        <v>3945</v>
      </c>
      <c r="V14" s="29" t="str">
        <f t="shared" si="19"/>
        <v>ཀྵ</v>
      </c>
      <c r="W14" s="28">
        <f t="shared" si="20"/>
        <v>3946</v>
      </c>
      <c r="X14" s="29" t="str">
        <f t="shared" si="21"/>
        <v>ཪ</v>
      </c>
      <c r="Y14" s="28">
        <f t="shared" si="22"/>
        <v>3947</v>
      </c>
      <c r="Z14" s="29" t="str">
        <f t="shared" si="23"/>
        <v>ཫ</v>
      </c>
      <c r="AA14" s="28">
        <f t="shared" si="24"/>
        <v>3948</v>
      </c>
      <c r="AB14" s="29" t="str">
        <f t="shared" si="25"/>
        <v>ཬ</v>
      </c>
      <c r="AC14" s="30">
        <f t="shared" si="26"/>
        <v>3949</v>
      </c>
      <c r="AD14" s="31" t="str">
        <f t="shared" si="27"/>
        <v>཭</v>
      </c>
      <c r="AE14" s="30">
        <f t="shared" si="28"/>
        <v>3950</v>
      </c>
      <c r="AF14" s="31" t="str">
        <f t="shared" si="29"/>
        <v>཮</v>
      </c>
      <c r="AG14" s="30">
        <f t="shared" si="30"/>
        <v>3951</v>
      </c>
      <c r="AH14" s="31" t="str">
        <f t="shared" si="31"/>
        <v>཯</v>
      </c>
    </row>
    <row r="15" spans="1:36" s="22" customFormat="1" ht="42.6" customHeight="1" x14ac:dyDescent="0.3">
      <c r="A15" s="22" t="s">
        <v>28</v>
      </c>
      <c r="B15" s="27">
        <v>7</v>
      </c>
      <c r="C15" s="30">
        <f t="shared" si="0"/>
        <v>3952</v>
      </c>
      <c r="D15" s="31" t="str">
        <f t="shared" si="1"/>
        <v>཰</v>
      </c>
      <c r="E15" s="32">
        <f t="shared" si="2"/>
        <v>3953</v>
      </c>
      <c r="F15" s="33" t="str">
        <f t="shared" si="3"/>
        <v>ཱ</v>
      </c>
      <c r="G15" s="32">
        <f t="shared" si="4"/>
        <v>3954</v>
      </c>
      <c r="H15" s="33" t="str">
        <f t="shared" si="5"/>
        <v>ི</v>
      </c>
      <c r="I15" s="32">
        <f t="shared" si="6"/>
        <v>3955</v>
      </c>
      <c r="J15" s="33" t="str">
        <f t="shared" si="7"/>
        <v>ཱི</v>
      </c>
      <c r="K15" s="32">
        <f t="shared" si="8"/>
        <v>3956</v>
      </c>
      <c r="L15" s="33" t="str">
        <f t="shared" si="9"/>
        <v>ུ</v>
      </c>
      <c r="M15" s="32">
        <f t="shared" si="10"/>
        <v>3957</v>
      </c>
      <c r="N15" s="33" t="str">
        <f t="shared" si="11"/>
        <v>ཱུ</v>
      </c>
      <c r="O15" s="32">
        <f t="shared" si="12"/>
        <v>3958</v>
      </c>
      <c r="P15" s="33" t="str">
        <f t="shared" si="13"/>
        <v>ྲྀ</v>
      </c>
      <c r="Q15" s="32">
        <f t="shared" si="14"/>
        <v>3959</v>
      </c>
      <c r="R15" s="33" t="str">
        <f t="shared" si="15"/>
        <v>ཷ</v>
      </c>
      <c r="S15" s="32">
        <f t="shared" si="16"/>
        <v>3960</v>
      </c>
      <c r="T15" s="33" t="str">
        <f t="shared" si="17"/>
        <v>ླྀ</v>
      </c>
      <c r="U15" s="32">
        <f t="shared" si="18"/>
        <v>3961</v>
      </c>
      <c r="V15" s="33" t="str">
        <f t="shared" si="19"/>
        <v>ཹ</v>
      </c>
      <c r="W15" s="32">
        <f t="shared" si="20"/>
        <v>3962</v>
      </c>
      <c r="X15" s="33" t="str">
        <f t="shared" si="21"/>
        <v>ེ</v>
      </c>
      <c r="Y15" s="32">
        <f t="shared" si="22"/>
        <v>3963</v>
      </c>
      <c r="Z15" s="33" t="str">
        <f t="shared" si="23"/>
        <v>ཻ</v>
      </c>
      <c r="AA15" s="32">
        <f t="shared" si="24"/>
        <v>3964</v>
      </c>
      <c r="AB15" s="33" t="str">
        <f t="shared" si="25"/>
        <v>ོ</v>
      </c>
      <c r="AC15" s="32">
        <f t="shared" si="26"/>
        <v>3965</v>
      </c>
      <c r="AD15" s="33" t="str">
        <f t="shared" si="27"/>
        <v>ཽ</v>
      </c>
      <c r="AE15" s="32">
        <f t="shared" si="28"/>
        <v>3966</v>
      </c>
      <c r="AF15" s="33" t="str">
        <f t="shared" si="29"/>
        <v>ཾ</v>
      </c>
      <c r="AG15" s="30">
        <f t="shared" si="30"/>
        <v>3967</v>
      </c>
      <c r="AH15" s="31" t="str">
        <f t="shared" si="31"/>
        <v>ཿ</v>
      </c>
    </row>
    <row r="16" spans="1:36" s="22" customFormat="1" ht="42.6" customHeight="1" x14ac:dyDescent="0.3">
      <c r="A16" s="22" t="s">
        <v>29</v>
      </c>
      <c r="B16" s="27">
        <v>8</v>
      </c>
      <c r="C16" s="32">
        <f t="shared" si="0"/>
        <v>3968</v>
      </c>
      <c r="D16" s="33" t="str">
        <f t="shared" si="1"/>
        <v>ྀ</v>
      </c>
      <c r="E16" s="32">
        <f t="shared" si="2"/>
        <v>3969</v>
      </c>
      <c r="F16" s="33" t="str">
        <f t="shared" si="3"/>
        <v>ཱྀ</v>
      </c>
      <c r="G16" s="32">
        <f t="shared" si="4"/>
        <v>3970</v>
      </c>
      <c r="H16" s="33" t="str">
        <f t="shared" si="5"/>
        <v>ྂ</v>
      </c>
      <c r="I16" s="32">
        <f t="shared" si="6"/>
        <v>3971</v>
      </c>
      <c r="J16" s="33" t="str">
        <f t="shared" si="7"/>
        <v>ྃ</v>
      </c>
      <c r="K16" s="32">
        <f t="shared" si="8"/>
        <v>3972</v>
      </c>
      <c r="L16" s="33" t="str">
        <f t="shared" si="9"/>
        <v>྄</v>
      </c>
      <c r="M16" s="30">
        <f t="shared" si="10"/>
        <v>3973</v>
      </c>
      <c r="N16" s="31" t="str">
        <f t="shared" si="11"/>
        <v>྅</v>
      </c>
      <c r="O16" s="32">
        <f t="shared" si="12"/>
        <v>3974</v>
      </c>
      <c r="P16" s="33" t="str">
        <f t="shared" si="13"/>
        <v>྆</v>
      </c>
      <c r="Q16" s="32">
        <f t="shared" si="14"/>
        <v>3975</v>
      </c>
      <c r="R16" s="33" t="str">
        <f t="shared" si="15"/>
        <v>྇</v>
      </c>
      <c r="S16" s="30">
        <f t="shared" si="16"/>
        <v>3976</v>
      </c>
      <c r="T16" s="31" t="str">
        <f t="shared" si="17"/>
        <v>ྈ</v>
      </c>
      <c r="U16" s="30">
        <f t="shared" si="18"/>
        <v>3977</v>
      </c>
      <c r="V16" s="31" t="str">
        <f t="shared" si="19"/>
        <v>ྉ</v>
      </c>
      <c r="W16" s="30">
        <f t="shared" si="20"/>
        <v>3978</v>
      </c>
      <c r="X16" s="31" t="str">
        <f t="shared" si="21"/>
        <v>ྊ</v>
      </c>
      <c r="Y16" s="30">
        <f t="shared" si="22"/>
        <v>3979</v>
      </c>
      <c r="Z16" s="31" t="str">
        <f t="shared" si="23"/>
        <v>ྋ</v>
      </c>
      <c r="AA16" s="30">
        <f t="shared" si="24"/>
        <v>3980</v>
      </c>
      <c r="AB16" s="31" t="str">
        <f t="shared" si="25"/>
        <v>ྌ</v>
      </c>
      <c r="AC16" s="30">
        <f t="shared" si="26"/>
        <v>3981</v>
      </c>
      <c r="AD16" s="31" t="str">
        <f t="shared" si="27"/>
        <v>ྍ</v>
      </c>
      <c r="AE16" s="30">
        <f t="shared" si="28"/>
        <v>3982</v>
      </c>
      <c r="AF16" s="31" t="str">
        <f t="shared" si="29"/>
        <v>ྎ</v>
      </c>
      <c r="AG16" s="30">
        <f t="shared" si="30"/>
        <v>3983</v>
      </c>
      <c r="AH16" s="31" t="str">
        <f t="shared" si="31"/>
        <v>ྏ</v>
      </c>
    </row>
    <row r="17" spans="1:34" s="22" customFormat="1" ht="42.6" customHeight="1" x14ac:dyDescent="0.3">
      <c r="A17" s="22" t="s">
        <v>30</v>
      </c>
      <c r="B17" s="27">
        <v>9</v>
      </c>
      <c r="C17" s="32">
        <f t="shared" si="0"/>
        <v>3984</v>
      </c>
      <c r="D17" s="33" t="str">
        <f t="shared" si="1"/>
        <v>ྐ</v>
      </c>
      <c r="E17" s="32">
        <f t="shared" si="2"/>
        <v>3985</v>
      </c>
      <c r="F17" s="33" t="str">
        <f t="shared" si="3"/>
        <v>ྑ</v>
      </c>
      <c r="G17" s="32">
        <f t="shared" si="4"/>
        <v>3986</v>
      </c>
      <c r="H17" s="33" t="str">
        <f t="shared" si="5"/>
        <v>ྒ</v>
      </c>
      <c r="I17" s="32">
        <f t="shared" si="6"/>
        <v>3987</v>
      </c>
      <c r="J17" s="33" t="str">
        <f t="shared" si="7"/>
        <v>ྒྷ</v>
      </c>
      <c r="K17" s="32">
        <f t="shared" si="8"/>
        <v>3988</v>
      </c>
      <c r="L17" s="33" t="str">
        <f t="shared" si="9"/>
        <v>ྔ</v>
      </c>
      <c r="M17" s="32">
        <f t="shared" si="10"/>
        <v>3989</v>
      </c>
      <c r="N17" s="33" t="str">
        <f t="shared" si="11"/>
        <v>ྕ</v>
      </c>
      <c r="O17" s="32">
        <f t="shared" si="12"/>
        <v>3990</v>
      </c>
      <c r="P17" s="33" t="str">
        <f t="shared" si="13"/>
        <v>ྖ</v>
      </c>
      <c r="Q17" s="32">
        <f t="shared" si="14"/>
        <v>3991</v>
      </c>
      <c r="R17" s="33" t="str">
        <f t="shared" si="15"/>
        <v>ྗ</v>
      </c>
      <c r="S17" s="30">
        <f t="shared" si="16"/>
        <v>3992</v>
      </c>
      <c r="T17" s="31" t="str">
        <f t="shared" si="17"/>
        <v>྘</v>
      </c>
      <c r="U17" s="32">
        <f t="shared" si="18"/>
        <v>3993</v>
      </c>
      <c r="V17" s="33" t="str">
        <f t="shared" si="19"/>
        <v>ྙ</v>
      </c>
      <c r="W17" s="32">
        <f t="shared" si="20"/>
        <v>3994</v>
      </c>
      <c r="X17" s="33" t="str">
        <f t="shared" si="21"/>
        <v>ྚ</v>
      </c>
      <c r="Y17" s="32">
        <f t="shared" si="22"/>
        <v>3995</v>
      </c>
      <c r="Z17" s="33" t="str">
        <f t="shared" si="23"/>
        <v>ྛ</v>
      </c>
      <c r="AA17" s="32">
        <f t="shared" si="24"/>
        <v>3996</v>
      </c>
      <c r="AB17" s="33" t="str">
        <f t="shared" si="25"/>
        <v>ྜ</v>
      </c>
      <c r="AC17" s="32">
        <f t="shared" si="26"/>
        <v>3997</v>
      </c>
      <c r="AD17" s="33" t="str">
        <f t="shared" si="27"/>
        <v>ྜྷ</v>
      </c>
      <c r="AE17" s="32">
        <f t="shared" si="28"/>
        <v>3998</v>
      </c>
      <c r="AF17" s="33" t="str">
        <f t="shared" si="29"/>
        <v>ྞ</v>
      </c>
      <c r="AG17" s="32">
        <f t="shared" si="30"/>
        <v>3999</v>
      </c>
      <c r="AH17" s="33" t="str">
        <f t="shared" si="31"/>
        <v>ྟ</v>
      </c>
    </row>
    <row r="18" spans="1:34" s="22" customFormat="1" ht="42.6" customHeight="1" x14ac:dyDescent="0.3">
      <c r="A18" s="22" t="s">
        <v>31</v>
      </c>
      <c r="B18" s="27" t="s">
        <v>15</v>
      </c>
      <c r="C18" s="32">
        <f t="shared" si="0"/>
        <v>4000</v>
      </c>
      <c r="D18" s="33" t="str">
        <f t="shared" si="1"/>
        <v>ྠ</v>
      </c>
      <c r="E18" s="32">
        <f t="shared" si="2"/>
        <v>4001</v>
      </c>
      <c r="F18" s="33" t="str">
        <f t="shared" si="3"/>
        <v>ྡ</v>
      </c>
      <c r="G18" s="32">
        <f t="shared" si="4"/>
        <v>4002</v>
      </c>
      <c r="H18" s="33" t="str">
        <f t="shared" si="5"/>
        <v>ྡྷ</v>
      </c>
      <c r="I18" s="32">
        <f t="shared" si="6"/>
        <v>4003</v>
      </c>
      <c r="J18" s="33" t="str">
        <f t="shared" si="7"/>
        <v>ྣ</v>
      </c>
      <c r="K18" s="32">
        <f t="shared" si="8"/>
        <v>4004</v>
      </c>
      <c r="L18" s="33" t="str">
        <f t="shared" si="9"/>
        <v>ྤ</v>
      </c>
      <c r="M18" s="32">
        <f t="shared" si="10"/>
        <v>4005</v>
      </c>
      <c r="N18" s="33" t="str">
        <f t="shared" si="11"/>
        <v>ྥ</v>
      </c>
      <c r="O18" s="32">
        <f t="shared" si="12"/>
        <v>4006</v>
      </c>
      <c r="P18" s="33" t="str">
        <f t="shared" si="13"/>
        <v>ྦ</v>
      </c>
      <c r="Q18" s="32">
        <f t="shared" si="14"/>
        <v>4007</v>
      </c>
      <c r="R18" s="33" t="str">
        <f t="shared" si="15"/>
        <v>ྦྷ</v>
      </c>
      <c r="S18" s="32">
        <f t="shared" si="16"/>
        <v>4008</v>
      </c>
      <c r="T18" s="33" t="str">
        <f t="shared" si="17"/>
        <v>ྨ</v>
      </c>
      <c r="U18" s="32">
        <f t="shared" si="18"/>
        <v>4009</v>
      </c>
      <c r="V18" s="33" t="str">
        <f t="shared" si="19"/>
        <v>ྩ</v>
      </c>
      <c r="W18" s="32">
        <f t="shared" si="20"/>
        <v>4010</v>
      </c>
      <c r="X18" s="33" t="str">
        <f t="shared" si="21"/>
        <v>ྪ</v>
      </c>
      <c r="Y18" s="32">
        <f t="shared" si="22"/>
        <v>4011</v>
      </c>
      <c r="Z18" s="33" t="str">
        <f t="shared" si="23"/>
        <v>ྫ</v>
      </c>
      <c r="AA18" s="32">
        <f t="shared" si="24"/>
        <v>4012</v>
      </c>
      <c r="AB18" s="33" t="str">
        <f t="shared" si="25"/>
        <v>ྫྷ</v>
      </c>
      <c r="AC18" s="32">
        <f t="shared" si="26"/>
        <v>4013</v>
      </c>
      <c r="AD18" s="33" t="str">
        <f t="shared" si="27"/>
        <v>ྭ</v>
      </c>
      <c r="AE18" s="32">
        <f t="shared" si="28"/>
        <v>4014</v>
      </c>
      <c r="AF18" s="33" t="str">
        <f t="shared" si="29"/>
        <v>ྮ</v>
      </c>
      <c r="AG18" s="32">
        <f t="shared" si="30"/>
        <v>4015</v>
      </c>
      <c r="AH18" s="33" t="str">
        <f t="shared" si="31"/>
        <v>ྯ</v>
      </c>
    </row>
    <row r="19" spans="1:34" s="22" customFormat="1" ht="42.6" customHeight="1" x14ac:dyDescent="0.3">
      <c r="A19" s="22" t="s">
        <v>32</v>
      </c>
      <c r="B19" s="27" t="s">
        <v>16</v>
      </c>
      <c r="C19" s="32">
        <f t="shared" si="0"/>
        <v>4016</v>
      </c>
      <c r="D19" s="33" t="str">
        <f t="shared" si="1"/>
        <v>ྰ</v>
      </c>
      <c r="E19" s="32">
        <f t="shared" si="2"/>
        <v>4017</v>
      </c>
      <c r="F19" s="33" t="str">
        <f t="shared" si="3"/>
        <v>ྱ</v>
      </c>
      <c r="G19" s="32">
        <f t="shared" si="4"/>
        <v>4018</v>
      </c>
      <c r="H19" s="33" t="str">
        <f t="shared" si="5"/>
        <v>ྲ</v>
      </c>
      <c r="I19" s="32">
        <f t="shared" si="6"/>
        <v>4019</v>
      </c>
      <c r="J19" s="33" t="str">
        <f t="shared" si="7"/>
        <v>ླ</v>
      </c>
      <c r="K19" s="32">
        <f t="shared" si="8"/>
        <v>4020</v>
      </c>
      <c r="L19" s="33" t="str">
        <f t="shared" si="9"/>
        <v>ྴ</v>
      </c>
      <c r="M19" s="32">
        <f t="shared" si="10"/>
        <v>4021</v>
      </c>
      <c r="N19" s="33" t="str">
        <f t="shared" si="11"/>
        <v>ྵ</v>
      </c>
      <c r="O19" s="32">
        <f t="shared" si="12"/>
        <v>4022</v>
      </c>
      <c r="P19" s="33" t="str">
        <f t="shared" si="13"/>
        <v>ྶ</v>
      </c>
      <c r="Q19" s="32">
        <f t="shared" si="14"/>
        <v>4023</v>
      </c>
      <c r="R19" s="33" t="str">
        <f t="shared" si="15"/>
        <v>ྷ</v>
      </c>
      <c r="S19" s="32">
        <f t="shared" si="16"/>
        <v>4024</v>
      </c>
      <c r="T19" s="33" t="str">
        <f t="shared" si="17"/>
        <v>ྸ</v>
      </c>
      <c r="U19" s="32">
        <f t="shared" si="18"/>
        <v>4025</v>
      </c>
      <c r="V19" s="33" t="str">
        <f t="shared" si="19"/>
        <v>ྐྵ</v>
      </c>
      <c r="W19" s="32">
        <f t="shared" si="20"/>
        <v>4026</v>
      </c>
      <c r="X19" s="33" t="str">
        <f t="shared" si="21"/>
        <v>ྺ</v>
      </c>
      <c r="Y19" s="32">
        <f t="shared" si="22"/>
        <v>4027</v>
      </c>
      <c r="Z19" s="33" t="str">
        <f t="shared" si="23"/>
        <v>ྻ</v>
      </c>
      <c r="AA19" s="32">
        <f t="shared" si="24"/>
        <v>4028</v>
      </c>
      <c r="AB19" s="33" t="str">
        <f t="shared" si="25"/>
        <v>ྼ</v>
      </c>
      <c r="AC19" s="30">
        <f t="shared" si="26"/>
        <v>4029</v>
      </c>
      <c r="AD19" s="31" t="str">
        <f t="shared" si="27"/>
        <v>྽</v>
      </c>
      <c r="AE19" s="30">
        <f t="shared" si="28"/>
        <v>4030</v>
      </c>
      <c r="AF19" s="31" t="str">
        <f t="shared" si="29"/>
        <v>྾</v>
      </c>
      <c r="AG19" s="30">
        <f t="shared" si="30"/>
        <v>4031</v>
      </c>
      <c r="AH19" s="31" t="str">
        <f t="shared" si="31"/>
        <v>྿</v>
      </c>
    </row>
    <row r="20" spans="1:34" s="22" customFormat="1" ht="42.6" customHeight="1" x14ac:dyDescent="0.3">
      <c r="A20" s="22" t="s">
        <v>33</v>
      </c>
      <c r="B20" s="27" t="s">
        <v>17</v>
      </c>
      <c r="C20" s="30">
        <f t="shared" si="0"/>
        <v>4032</v>
      </c>
      <c r="D20" s="31" t="str">
        <f t="shared" si="1"/>
        <v>࿀</v>
      </c>
      <c r="E20" s="30">
        <f t="shared" si="2"/>
        <v>4033</v>
      </c>
      <c r="F20" s="31" t="str">
        <f t="shared" si="3"/>
        <v>࿁</v>
      </c>
      <c r="G20" s="30">
        <f t="shared" si="4"/>
        <v>4034</v>
      </c>
      <c r="H20" s="31" t="str">
        <f t="shared" si="5"/>
        <v>࿂</v>
      </c>
      <c r="I20" s="30">
        <f t="shared" si="6"/>
        <v>4035</v>
      </c>
      <c r="J20" s="31" t="str">
        <f t="shared" si="7"/>
        <v>࿃</v>
      </c>
      <c r="K20" s="30">
        <f t="shared" si="8"/>
        <v>4036</v>
      </c>
      <c r="L20" s="31" t="str">
        <f t="shared" si="9"/>
        <v>࿄</v>
      </c>
      <c r="M20" s="30">
        <f t="shared" si="10"/>
        <v>4037</v>
      </c>
      <c r="N20" s="31" t="str">
        <f t="shared" si="11"/>
        <v>࿅</v>
      </c>
      <c r="O20" s="30">
        <f t="shared" si="12"/>
        <v>4038</v>
      </c>
      <c r="P20" s="31" t="str">
        <f t="shared" si="13"/>
        <v>࿆</v>
      </c>
      <c r="Q20" s="30">
        <f t="shared" si="14"/>
        <v>4039</v>
      </c>
      <c r="R20" s="31" t="str">
        <f t="shared" si="15"/>
        <v>࿇</v>
      </c>
      <c r="S20" s="30">
        <f t="shared" si="16"/>
        <v>4040</v>
      </c>
      <c r="T20" s="31" t="str">
        <f t="shared" si="17"/>
        <v>࿈</v>
      </c>
      <c r="U20" s="30">
        <f t="shared" si="18"/>
        <v>4041</v>
      </c>
      <c r="V20" s="31" t="str">
        <f t="shared" si="19"/>
        <v>࿉</v>
      </c>
      <c r="W20" s="30">
        <f t="shared" si="20"/>
        <v>4042</v>
      </c>
      <c r="X20" s="31" t="str">
        <f t="shared" si="21"/>
        <v>࿊</v>
      </c>
      <c r="Y20" s="30">
        <f t="shared" si="22"/>
        <v>4043</v>
      </c>
      <c r="Z20" s="31" t="str">
        <f t="shared" si="23"/>
        <v>࿋</v>
      </c>
      <c r="AA20" s="30">
        <f t="shared" si="24"/>
        <v>4044</v>
      </c>
      <c r="AB20" s="31" t="str">
        <f t="shared" si="25"/>
        <v>࿌</v>
      </c>
      <c r="AC20" s="30">
        <f t="shared" si="26"/>
        <v>4045</v>
      </c>
      <c r="AD20" s="31" t="str">
        <f t="shared" si="27"/>
        <v>࿍</v>
      </c>
      <c r="AE20" s="30">
        <f t="shared" si="28"/>
        <v>4046</v>
      </c>
      <c r="AF20" s="31" t="str">
        <f t="shared" si="29"/>
        <v>࿎</v>
      </c>
      <c r="AG20" s="30">
        <f t="shared" si="30"/>
        <v>4047</v>
      </c>
      <c r="AH20" s="31" t="str">
        <f t="shared" si="31"/>
        <v>࿏</v>
      </c>
    </row>
    <row r="21" spans="1:34" s="22" customFormat="1" ht="42.6" customHeight="1" x14ac:dyDescent="0.3">
      <c r="A21" s="22" t="s">
        <v>34</v>
      </c>
      <c r="B21" s="27" t="s">
        <v>18</v>
      </c>
      <c r="C21" s="30">
        <f t="shared" si="0"/>
        <v>4048</v>
      </c>
      <c r="D21" s="31" t="str">
        <f t="shared" si="1"/>
        <v>࿐</v>
      </c>
      <c r="E21" s="30">
        <f t="shared" si="2"/>
        <v>4049</v>
      </c>
      <c r="F21" s="31" t="str">
        <f t="shared" si="3"/>
        <v>࿑</v>
      </c>
      <c r="G21" s="30">
        <f t="shared" si="4"/>
        <v>4050</v>
      </c>
      <c r="H21" s="31" t="str">
        <f t="shared" si="5"/>
        <v>࿒</v>
      </c>
      <c r="I21" s="30">
        <f t="shared" si="6"/>
        <v>4051</v>
      </c>
      <c r="J21" s="31" t="str">
        <f t="shared" si="7"/>
        <v>࿓</v>
      </c>
      <c r="K21" s="30">
        <f t="shared" si="8"/>
        <v>4052</v>
      </c>
      <c r="L21" s="31" t="str">
        <f t="shared" si="9"/>
        <v>࿔</v>
      </c>
      <c r="M21" s="30">
        <f t="shared" si="10"/>
        <v>4053</v>
      </c>
      <c r="N21" s="31" t="str">
        <f t="shared" si="11"/>
        <v>࿕</v>
      </c>
      <c r="O21" s="30">
        <f t="shared" si="12"/>
        <v>4054</v>
      </c>
      <c r="P21" s="31" t="str">
        <f t="shared" si="13"/>
        <v>࿖</v>
      </c>
      <c r="Q21" s="30">
        <f t="shared" si="14"/>
        <v>4055</v>
      </c>
      <c r="R21" s="31" t="str">
        <f t="shared" si="15"/>
        <v>࿗</v>
      </c>
      <c r="S21" s="30">
        <f t="shared" si="16"/>
        <v>4056</v>
      </c>
      <c r="T21" s="31" t="str">
        <f t="shared" si="17"/>
        <v>࿘</v>
      </c>
      <c r="U21" s="30">
        <f t="shared" si="18"/>
        <v>4057</v>
      </c>
      <c r="V21" s="31" t="str">
        <f t="shared" si="19"/>
        <v>࿙</v>
      </c>
      <c r="W21" s="30">
        <f t="shared" si="20"/>
        <v>4058</v>
      </c>
      <c r="X21" s="31" t="str">
        <f t="shared" si="21"/>
        <v>࿚</v>
      </c>
      <c r="Y21" s="30">
        <f t="shared" si="22"/>
        <v>4059</v>
      </c>
      <c r="Z21" s="31" t="str">
        <f t="shared" si="23"/>
        <v>࿛</v>
      </c>
      <c r="AA21" s="30">
        <f t="shared" si="24"/>
        <v>4060</v>
      </c>
      <c r="AB21" s="31" t="str">
        <f t="shared" si="25"/>
        <v>࿜</v>
      </c>
      <c r="AC21" s="30">
        <f t="shared" si="26"/>
        <v>4061</v>
      </c>
      <c r="AD21" s="31" t="str">
        <f t="shared" si="27"/>
        <v>࿝</v>
      </c>
      <c r="AE21" s="30">
        <f t="shared" si="28"/>
        <v>4062</v>
      </c>
      <c r="AF21" s="31" t="str">
        <f t="shared" si="29"/>
        <v>࿞</v>
      </c>
      <c r="AG21" s="30">
        <f t="shared" si="30"/>
        <v>4063</v>
      </c>
      <c r="AH21" s="31" t="str">
        <f t="shared" si="31"/>
        <v>࿟</v>
      </c>
    </row>
    <row r="22" spans="1:34" s="22" customFormat="1" ht="42.6" customHeight="1" x14ac:dyDescent="0.3">
      <c r="A22" s="22" t="s">
        <v>35</v>
      </c>
      <c r="B22" s="27" t="s">
        <v>19</v>
      </c>
      <c r="C22" s="30">
        <f t="shared" si="0"/>
        <v>4064</v>
      </c>
      <c r="D22" s="31" t="str">
        <f t="shared" si="1"/>
        <v>࿠</v>
      </c>
      <c r="E22" s="30">
        <f t="shared" si="2"/>
        <v>4065</v>
      </c>
      <c r="F22" s="31" t="str">
        <f t="shared" si="3"/>
        <v>࿡</v>
      </c>
      <c r="G22" s="30">
        <f t="shared" si="4"/>
        <v>4066</v>
      </c>
      <c r="H22" s="31" t="str">
        <f t="shared" si="5"/>
        <v>࿢</v>
      </c>
      <c r="I22" s="30">
        <f t="shared" si="6"/>
        <v>4067</v>
      </c>
      <c r="J22" s="31" t="str">
        <f t="shared" si="7"/>
        <v>࿣</v>
      </c>
      <c r="K22" s="30">
        <f t="shared" si="8"/>
        <v>4068</v>
      </c>
      <c r="L22" s="31" t="str">
        <f t="shared" si="9"/>
        <v>࿤</v>
      </c>
      <c r="M22" s="30">
        <f t="shared" si="10"/>
        <v>4069</v>
      </c>
      <c r="N22" s="31" t="str">
        <f t="shared" si="11"/>
        <v>࿥</v>
      </c>
      <c r="O22" s="30">
        <f t="shared" si="12"/>
        <v>4070</v>
      </c>
      <c r="P22" s="31" t="str">
        <f t="shared" si="13"/>
        <v>࿦</v>
      </c>
      <c r="Q22" s="30">
        <f t="shared" si="14"/>
        <v>4071</v>
      </c>
      <c r="R22" s="31" t="str">
        <f t="shared" si="15"/>
        <v>࿧</v>
      </c>
      <c r="S22" s="30">
        <f t="shared" si="16"/>
        <v>4072</v>
      </c>
      <c r="T22" s="31" t="str">
        <f t="shared" si="17"/>
        <v>࿨</v>
      </c>
      <c r="U22" s="30">
        <f t="shared" si="18"/>
        <v>4073</v>
      </c>
      <c r="V22" s="31" t="str">
        <f t="shared" si="19"/>
        <v>࿩</v>
      </c>
      <c r="W22" s="30">
        <f t="shared" si="20"/>
        <v>4074</v>
      </c>
      <c r="X22" s="31" t="str">
        <f t="shared" si="21"/>
        <v>࿪</v>
      </c>
      <c r="Y22" s="30">
        <f t="shared" si="22"/>
        <v>4075</v>
      </c>
      <c r="Z22" s="31" t="str">
        <f t="shared" si="23"/>
        <v>࿫</v>
      </c>
      <c r="AA22" s="30">
        <f t="shared" si="24"/>
        <v>4076</v>
      </c>
      <c r="AB22" s="31" t="str">
        <f t="shared" si="25"/>
        <v>࿬</v>
      </c>
      <c r="AC22" s="30">
        <f t="shared" si="26"/>
        <v>4077</v>
      </c>
      <c r="AD22" s="31" t="str">
        <f t="shared" si="27"/>
        <v>࿭</v>
      </c>
      <c r="AE22" s="30">
        <f t="shared" si="28"/>
        <v>4078</v>
      </c>
      <c r="AF22" s="31" t="str">
        <f t="shared" si="29"/>
        <v>࿮</v>
      </c>
      <c r="AG22" s="30">
        <f t="shared" si="30"/>
        <v>4079</v>
      </c>
      <c r="AH22" s="31" t="str">
        <f t="shared" si="31"/>
        <v>࿯</v>
      </c>
    </row>
    <row r="23" spans="1:34" s="22" customFormat="1" ht="42.6" customHeight="1" x14ac:dyDescent="0.3">
      <c r="A23" s="22" t="s">
        <v>36</v>
      </c>
      <c r="B23" s="27" t="s">
        <v>20</v>
      </c>
      <c r="C23" s="30">
        <f t="shared" si="0"/>
        <v>4080</v>
      </c>
      <c r="D23" s="31" t="str">
        <f t="shared" si="1"/>
        <v>࿰</v>
      </c>
      <c r="E23" s="30">
        <f t="shared" si="2"/>
        <v>4081</v>
      </c>
      <c r="F23" s="31" t="str">
        <f t="shared" si="3"/>
        <v>࿱</v>
      </c>
      <c r="G23" s="30">
        <f t="shared" si="4"/>
        <v>4082</v>
      </c>
      <c r="H23" s="31" t="str">
        <f t="shared" si="5"/>
        <v>࿲</v>
      </c>
      <c r="I23" s="30">
        <f t="shared" si="6"/>
        <v>4083</v>
      </c>
      <c r="J23" s="31" t="str">
        <f t="shared" si="7"/>
        <v>࿳</v>
      </c>
      <c r="K23" s="30">
        <f t="shared" si="8"/>
        <v>4084</v>
      </c>
      <c r="L23" s="31" t="str">
        <f t="shared" si="9"/>
        <v>࿴</v>
      </c>
      <c r="M23" s="30">
        <f t="shared" si="10"/>
        <v>4085</v>
      </c>
      <c r="N23" s="31" t="str">
        <f t="shared" si="11"/>
        <v>࿵</v>
      </c>
      <c r="O23" s="30">
        <f t="shared" si="12"/>
        <v>4086</v>
      </c>
      <c r="P23" s="31" t="str">
        <f t="shared" si="13"/>
        <v>࿶</v>
      </c>
      <c r="Q23" s="30">
        <f t="shared" si="14"/>
        <v>4087</v>
      </c>
      <c r="R23" s="31" t="str">
        <f t="shared" si="15"/>
        <v>࿷</v>
      </c>
      <c r="S23" s="30">
        <f t="shared" si="16"/>
        <v>4088</v>
      </c>
      <c r="T23" s="31" t="str">
        <f t="shared" si="17"/>
        <v>࿸</v>
      </c>
      <c r="U23" s="30">
        <f t="shared" si="18"/>
        <v>4089</v>
      </c>
      <c r="V23" s="31" t="str">
        <f t="shared" si="19"/>
        <v>࿹</v>
      </c>
      <c r="W23" s="30">
        <f t="shared" si="20"/>
        <v>4090</v>
      </c>
      <c r="X23" s="31" t="str">
        <f t="shared" si="21"/>
        <v>࿺</v>
      </c>
      <c r="Y23" s="30">
        <f t="shared" si="22"/>
        <v>4091</v>
      </c>
      <c r="Z23" s="31" t="str">
        <f t="shared" si="23"/>
        <v>࿻</v>
      </c>
      <c r="AA23" s="30">
        <f t="shared" si="24"/>
        <v>4092</v>
      </c>
      <c r="AB23" s="31" t="str">
        <f t="shared" si="25"/>
        <v>࿼</v>
      </c>
      <c r="AC23" s="30">
        <f t="shared" si="26"/>
        <v>4093</v>
      </c>
      <c r="AD23" s="31" t="str">
        <f t="shared" si="27"/>
        <v>࿽</v>
      </c>
      <c r="AE23" s="30">
        <f t="shared" si="28"/>
        <v>4094</v>
      </c>
      <c r="AF23" s="31" t="str">
        <f t="shared" si="29"/>
        <v>࿾</v>
      </c>
      <c r="AG23" s="30">
        <f t="shared" si="30"/>
        <v>4095</v>
      </c>
      <c r="AH23" s="31" t="str">
        <f t="shared" si="31"/>
        <v>࿿</v>
      </c>
    </row>
  </sheetData>
  <sheetProtection algorithmName="SHA-512" hashValue="Nc8Us7quojyIDtJzGkiVtaGHRtp0rTqxiEC8xaWp1YVVteHe5s9sFZAiThBcUYjqA1bP7JP46GMDv+Clyvq2uQ==" saltValue="0mqPulyKLN1q4E5G8Uc9dw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3AB9-09C2-41AC-B124-1762D282B01D}">
  <sheetPr codeName="Sheet1"/>
  <dimension ref="B2:B6"/>
  <sheetViews>
    <sheetView workbookViewId="0">
      <selection activeCell="B3" sqref="B3"/>
    </sheetView>
  </sheetViews>
  <sheetFormatPr defaultRowHeight="14.4" x14ac:dyDescent="0.3"/>
  <sheetData>
    <row r="2" spans="2:2" x14ac:dyDescent="0.3">
      <c r="B2" t="s">
        <v>37</v>
      </c>
    </row>
    <row r="3" spans="2:2" x14ac:dyDescent="0.3">
      <c r="B3" t="s">
        <v>44</v>
      </c>
    </row>
    <row r="5" spans="2:2" x14ac:dyDescent="0.3">
      <c r="B5" t="s">
        <v>38</v>
      </c>
    </row>
    <row r="6" spans="2:2" x14ac:dyDescent="0.3">
      <c r="B6" t="s">
        <v>39</v>
      </c>
    </row>
  </sheetData>
  <sheetProtection algorithmName="SHA-512" hashValue="9sfNUWV++7xhYTDWEk/UqV41H5ErbNhUHfMwqlAIB0rjj7PR3a8Y+7AV/149V9/ryivgc2PzssH7Bwxh/4EUFQ==" saltValue="dF40umK0v2Vm1Z/zt3Udp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Select</vt:lpstr>
      <vt:lpstr>Manual</vt:lpstr>
      <vt:lpstr>Copyright</vt:lpstr>
      <vt:lpstr>addWordToSentence</vt:lpstr>
      <vt:lpstr>char3987</vt:lpstr>
      <vt:lpstr>char3997</vt:lpstr>
      <vt:lpstr>char4002</vt:lpstr>
      <vt:lpstr>char4007</vt:lpstr>
      <vt:lpstr>char4012</vt:lpstr>
      <vt:lpstr>char4025</vt:lpstr>
      <vt:lpstr>charTable</vt:lpstr>
      <vt:lpstr>clearLastChar</vt:lpstr>
      <vt:lpstr>clearSentence</vt:lpstr>
      <vt:lpstr>clearWord</vt:lpstr>
      <vt:lpstr>copySentence</vt:lpstr>
      <vt:lpstr>copyWord</vt:lpstr>
      <vt:lpstr>sentence</vt:lpstr>
      <vt:lpstr>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Loo Guang</dc:creator>
  <cp:lastModifiedBy>Admin</cp:lastModifiedBy>
  <dcterms:created xsi:type="dcterms:W3CDTF">2024-10-22T07:13:56Z</dcterms:created>
  <dcterms:modified xsi:type="dcterms:W3CDTF">2025-09-17T08:05:56Z</dcterms:modified>
</cp:coreProperties>
</file>